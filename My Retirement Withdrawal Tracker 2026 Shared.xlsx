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comments3.xml" ContentType="application/vnd.openxmlformats-officedocument.spreadsheetml.comments+xml"/>
  <Override PartName="/xl/threadedComments/threadedComment3.xml" ContentType="application/vnd.ms-excel.threadedcomment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codeName="ThisWorkbook"/>
  <mc:AlternateContent xmlns:mc="http://schemas.openxmlformats.org/markup-compatibility/2006">
    <mc:Choice Requires="x15">
      <x15ac:absPath xmlns:x15ac="http://schemas.microsoft.com/office/spreadsheetml/2010/11/ac" url="D:\My Documents\My Retirement\Withdrawal Tracking\"/>
    </mc:Choice>
  </mc:AlternateContent>
  <xr:revisionPtr revIDLastSave="0" documentId="13_ncr:1_{A178A039-A19F-42F2-8802-1E247DEFED7F}" xr6:coauthVersionLast="47" xr6:coauthVersionMax="47" xr10:uidLastSave="{00000000-0000-0000-0000-000000000000}"/>
  <bookViews>
    <workbookView xWindow="-120" yWindow="-120" windowWidth="51840" windowHeight="21120" xr2:uid="{418A610B-10BA-4BD8-88CC-101BFEBDFC24}"/>
  </bookViews>
  <sheets>
    <sheet name="Instructions" sheetId="12" r:id="rId1"/>
    <sheet name="GK Cash Flow 2025" sheetId="18" r:id="rId2"/>
    <sheet name="GK Cash Flow 2026" sheetId="20" r:id="rId3"/>
    <sheet name="Year over Year Stats" sheetId="19" r:id="rId4"/>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2" i="20" l="1"/>
  <c r="J58" i="20"/>
  <c r="AJ55" i="20"/>
  <c r="AH55" i="20"/>
  <c r="AE55" i="20"/>
  <c r="J54" i="20"/>
  <c r="I54" i="20" s="1"/>
  <c r="J53" i="20"/>
  <c r="J52" i="20"/>
  <c r="J51" i="20"/>
  <c r="J49" i="20"/>
  <c r="J48" i="20"/>
  <c r="J47" i="20"/>
  <c r="J46" i="20"/>
  <c r="G46" i="20" s="1"/>
  <c r="J44" i="20"/>
  <c r="J41" i="20"/>
  <c r="J40" i="20"/>
  <c r="J39" i="20"/>
  <c r="J38" i="20"/>
  <c r="J34" i="20"/>
  <c r="J33" i="20"/>
  <c r="J32" i="20"/>
  <c r="J31" i="20"/>
  <c r="J30" i="20"/>
  <c r="J28" i="20"/>
  <c r="J27" i="20"/>
  <c r="C27" i="20" s="1"/>
  <c r="J26" i="20"/>
  <c r="J25" i="20"/>
  <c r="E25" i="20" s="1"/>
  <c r="J23" i="20"/>
  <c r="J22" i="20"/>
  <c r="J21" i="20"/>
  <c r="J20" i="20"/>
  <c r="J19" i="20"/>
  <c r="J17" i="20"/>
  <c r="I17" i="20" s="1"/>
  <c r="J16" i="20"/>
  <c r="J15" i="20"/>
  <c r="I15" i="20" s="1"/>
  <c r="N55" i="20"/>
  <c r="J14" i="20"/>
  <c r="G14" i="20" s="1"/>
  <c r="J13" i="20"/>
  <c r="J12" i="20"/>
  <c r="J11" i="20"/>
  <c r="J10" i="20"/>
  <c r="J9" i="20"/>
  <c r="J8" i="20"/>
  <c r="I8" i="20" s="1"/>
  <c r="J7" i="20"/>
  <c r="G7" i="20" s="1"/>
  <c r="J6" i="20"/>
  <c r="C6" i="20" s="1"/>
  <c r="J5" i="20"/>
  <c r="C5" i="20" s="1"/>
  <c r="W4" i="20"/>
  <c r="W5" i="20" s="1"/>
  <c r="W6" i="20" s="1"/>
  <c r="W7" i="20" s="1"/>
  <c r="W8" i="20" s="1"/>
  <c r="W9" i="20" s="1"/>
  <c r="W10" i="20" s="1"/>
  <c r="W11" i="20" s="1"/>
  <c r="W12" i="20" s="1"/>
  <c r="W13" i="20" s="1"/>
  <c r="W14" i="20" s="1"/>
  <c r="W15" i="20" s="1"/>
  <c r="W16" i="20" s="1"/>
  <c r="W17" i="20" s="1"/>
  <c r="W18" i="20" s="1"/>
  <c r="W19" i="20" s="1"/>
  <c r="W20" i="20" s="1"/>
  <c r="W21" i="20" s="1"/>
  <c r="W22" i="20" s="1"/>
  <c r="W23" i="20" s="1"/>
  <c r="W24" i="20" s="1"/>
  <c r="W25" i="20" s="1"/>
  <c r="J4" i="20"/>
  <c r="AZ3" i="20"/>
  <c r="AZ4" i="20" s="1"/>
  <c r="AZ5" i="20" s="1"/>
  <c r="AZ6" i="20" s="1"/>
  <c r="AZ7" i="20" s="1"/>
  <c r="AZ8" i="20" s="1"/>
  <c r="AZ9" i="20" s="1"/>
  <c r="AZ10" i="20" s="1"/>
  <c r="AZ11" i="20" s="1"/>
  <c r="AZ12" i="20" s="1"/>
  <c r="AZ13" i="20" s="1"/>
  <c r="AZ14" i="20" s="1"/>
  <c r="AZ15" i="20" s="1"/>
  <c r="AZ16" i="20" s="1"/>
  <c r="AZ17" i="20" s="1"/>
  <c r="AZ18" i="20" s="1"/>
  <c r="AZ19" i="20" s="1"/>
  <c r="AZ20" i="20" s="1"/>
  <c r="AZ21" i="20" s="1"/>
  <c r="AZ22" i="20" s="1"/>
  <c r="AZ23" i="20" s="1"/>
  <c r="AZ24" i="20" s="1"/>
  <c r="AZ25" i="20" s="1"/>
  <c r="AC3" i="20"/>
  <c r="AC4" i="20" s="1"/>
  <c r="AC5" i="20" s="1"/>
  <c r="AC6" i="20" s="1"/>
  <c r="AC7" i="20" s="1"/>
  <c r="AC8" i="20" s="1"/>
  <c r="AC9" i="20" s="1"/>
  <c r="AC10" i="20" s="1"/>
  <c r="AC11" i="20" s="1"/>
  <c r="AC12" i="20" s="1"/>
  <c r="AC13" i="20" s="1"/>
  <c r="AC14" i="20" s="1"/>
  <c r="AC15" i="20" s="1"/>
  <c r="AC16" i="20" s="1"/>
  <c r="AC17" i="20" s="1"/>
  <c r="AC18" i="20" s="1"/>
  <c r="AC19" i="20" s="1"/>
  <c r="AC20" i="20" s="1"/>
  <c r="AC21" i="20" s="1"/>
  <c r="AC22" i="20" s="1"/>
  <c r="AC23" i="20" s="1"/>
  <c r="AC24" i="20" s="1"/>
  <c r="AC25" i="20" s="1"/>
  <c r="W3" i="20"/>
  <c r="V3" i="20"/>
  <c r="V4" i="20" s="1"/>
  <c r="V5" i="20" s="1"/>
  <c r="V6" i="20" s="1"/>
  <c r="V7" i="20" s="1"/>
  <c r="V8" i="20" s="1"/>
  <c r="V9" i="20" s="1"/>
  <c r="V10" i="20" s="1"/>
  <c r="V11" i="20" s="1"/>
  <c r="V12" i="20" s="1"/>
  <c r="V13" i="20" s="1"/>
  <c r="V14" i="20" s="1"/>
  <c r="V15" i="20" s="1"/>
  <c r="V16" i="20" s="1"/>
  <c r="V17" i="20" s="1"/>
  <c r="V18" i="20" s="1"/>
  <c r="V19" i="20" s="1"/>
  <c r="V20" i="20" s="1"/>
  <c r="V21" i="20" s="1"/>
  <c r="V22" i="20" s="1"/>
  <c r="V23" i="20" s="1"/>
  <c r="V24" i="20" s="1"/>
  <c r="V25" i="20" s="1"/>
  <c r="T3" i="20"/>
  <c r="T4" i="20" s="1"/>
  <c r="T5" i="20" s="1"/>
  <c r="T6" i="20" s="1"/>
  <c r="T7" i="20" s="1"/>
  <c r="T8" i="20" s="1"/>
  <c r="T9" i="20" s="1"/>
  <c r="T10" i="20" s="1"/>
  <c r="T11" i="20" s="1"/>
  <c r="T12" i="20" s="1"/>
  <c r="T13" i="20" s="1"/>
  <c r="T14" i="20" s="1"/>
  <c r="T15" i="20" s="1"/>
  <c r="T16" i="20" s="1"/>
  <c r="T17" i="20" s="1"/>
  <c r="T18" i="20" s="1"/>
  <c r="T19" i="20" s="1"/>
  <c r="T20" i="20" s="1"/>
  <c r="T21" i="20" s="1"/>
  <c r="T22" i="20" s="1"/>
  <c r="T23" i="20" s="1"/>
  <c r="T24" i="20" s="1"/>
  <c r="T25" i="20" s="1"/>
  <c r="R3" i="20"/>
  <c r="R4" i="20" s="1"/>
  <c r="R5" i="20" s="1"/>
  <c r="R6" i="20" s="1"/>
  <c r="R7" i="20" s="1"/>
  <c r="R8" i="20" s="1"/>
  <c r="R9" i="20" s="1"/>
  <c r="R10" i="20" s="1"/>
  <c r="R11" i="20" s="1"/>
  <c r="R12" i="20" s="1"/>
  <c r="R13" i="20" s="1"/>
  <c r="R14" i="20" s="1"/>
  <c r="R15" i="20" s="1"/>
  <c r="R16" i="20" s="1"/>
  <c r="R17" i="20" s="1"/>
  <c r="R18" i="20" s="1"/>
  <c r="R19" i="20" s="1"/>
  <c r="R20" i="20" s="1"/>
  <c r="R21" i="20" s="1"/>
  <c r="R22" i="20" s="1"/>
  <c r="R23" i="20" s="1"/>
  <c r="R24" i="20" s="1"/>
  <c r="R25" i="20" s="1"/>
  <c r="M3" i="20"/>
  <c r="M4" i="20" s="1"/>
  <c r="AO4" i="20" s="1"/>
  <c r="A3" i="20"/>
  <c r="A4" i="20" s="1"/>
  <c r="A5" i="20" s="1"/>
  <c r="A6" i="20" s="1"/>
  <c r="A7" i="20" s="1"/>
  <c r="A8" i="20" s="1"/>
  <c r="A9" i="20" s="1"/>
  <c r="A10" i="20" s="1"/>
  <c r="A11" i="20" s="1"/>
  <c r="A12" i="20" s="1"/>
  <c r="A13" i="20" s="1"/>
  <c r="A14" i="20" s="1"/>
  <c r="A15" i="20" s="1"/>
  <c r="A16" i="20" s="1"/>
  <c r="A17" i="20" s="1"/>
  <c r="A18" i="20" s="1"/>
  <c r="A19" i="20" s="1"/>
  <c r="A20" i="20" s="1"/>
  <c r="A21" i="20" s="1"/>
  <c r="A22" i="20" s="1"/>
  <c r="A23" i="20" s="1"/>
  <c r="A24" i="20" s="1"/>
  <c r="A25" i="20" s="1"/>
  <c r="A26" i="20" s="1"/>
  <c r="A27" i="20" s="1"/>
  <c r="A28" i="20" s="1"/>
  <c r="A29" i="20" s="1"/>
  <c r="A30" i="20" s="1"/>
  <c r="A31" i="20" s="1"/>
  <c r="A32" i="20" s="1"/>
  <c r="A33" i="20" s="1"/>
  <c r="A34" i="20" s="1"/>
  <c r="A35" i="20" s="1"/>
  <c r="A36" i="20" s="1"/>
  <c r="A37" i="20" s="1"/>
  <c r="A38" i="20" s="1"/>
  <c r="A39" i="20" s="1"/>
  <c r="A40" i="20" s="1"/>
  <c r="A41" i="20" s="1"/>
  <c r="A42" i="20" s="1"/>
  <c r="A43" i="20" s="1"/>
  <c r="A44" i="20" s="1"/>
  <c r="A45" i="20" s="1"/>
  <c r="A46" i="20" s="1"/>
  <c r="A47" i="20" s="1"/>
  <c r="A48" i="20" s="1"/>
  <c r="A49" i="20" s="1"/>
  <c r="A50" i="20" s="1"/>
  <c r="A51" i="20" s="1"/>
  <c r="A52" i="20" s="1"/>
  <c r="A53" i="20" s="1"/>
  <c r="A54" i="20" s="1"/>
  <c r="AY2" i="20"/>
  <c r="AW2" i="20"/>
  <c r="AP2" i="20"/>
  <c r="AK2" i="20"/>
  <c r="AK3" i="20" s="1"/>
  <c r="AK4" i="20" s="1"/>
  <c r="AK5" i="20" s="1"/>
  <c r="AK6" i="20" s="1"/>
  <c r="AK7" i="20" s="1"/>
  <c r="AK8" i="20" s="1"/>
  <c r="AK9" i="20" s="1"/>
  <c r="AK10" i="20" s="1"/>
  <c r="AK11" i="20" s="1"/>
  <c r="AK12" i="20" s="1"/>
  <c r="AK13" i="20" s="1"/>
  <c r="AK14" i="20" s="1"/>
  <c r="AK15" i="20" s="1"/>
  <c r="AK16" i="20" s="1"/>
  <c r="AK17" i="20" s="1"/>
  <c r="AK18" i="20" s="1"/>
  <c r="AK19" i="20" s="1"/>
  <c r="AK20" i="20" s="1"/>
  <c r="AK21" i="20" s="1"/>
  <c r="AK22" i="20" s="1"/>
  <c r="AK23" i="20" s="1"/>
  <c r="AK24" i="20" s="1"/>
  <c r="AK25" i="20" s="1"/>
  <c r="AI2" i="20"/>
  <c r="AI3" i="20" s="1"/>
  <c r="AI4" i="20" s="1"/>
  <c r="AI5" i="20" s="1"/>
  <c r="AI6" i="20" s="1"/>
  <c r="AI7" i="20" s="1"/>
  <c r="AI8" i="20" s="1"/>
  <c r="AI9" i="20" s="1"/>
  <c r="AI10" i="20" s="1"/>
  <c r="AI11" i="20" s="1"/>
  <c r="AI12" i="20" s="1"/>
  <c r="AI13" i="20" s="1"/>
  <c r="AI14" i="20" s="1"/>
  <c r="AI15" i="20" s="1"/>
  <c r="AI16" i="20" s="1"/>
  <c r="AI17" i="20" s="1"/>
  <c r="AI18" i="20" s="1"/>
  <c r="AI19" i="20" s="1"/>
  <c r="AI20" i="20" s="1"/>
  <c r="AI21" i="20" s="1"/>
  <c r="AI22" i="20" s="1"/>
  <c r="AI23" i="20" s="1"/>
  <c r="AI24" i="20" s="1"/>
  <c r="AI25" i="20" s="1"/>
  <c r="AF2" i="20"/>
  <c r="AF3" i="20" s="1"/>
  <c r="AF4" i="20" s="1"/>
  <c r="AF5" i="20" s="1"/>
  <c r="AF6" i="20" s="1"/>
  <c r="AF7" i="20" s="1"/>
  <c r="AF8" i="20" s="1"/>
  <c r="AF9" i="20" s="1"/>
  <c r="AF10" i="20" s="1"/>
  <c r="AF11" i="20" s="1"/>
  <c r="AF12" i="20" s="1"/>
  <c r="AF13" i="20" s="1"/>
  <c r="AF14" i="20" s="1"/>
  <c r="AF15" i="20" s="1"/>
  <c r="AF16" i="20" s="1"/>
  <c r="AF17" i="20" s="1"/>
  <c r="AF18" i="20" s="1"/>
  <c r="AF19" i="20" s="1"/>
  <c r="AF20" i="20" s="1"/>
  <c r="AF21" i="20" s="1"/>
  <c r="AF22" i="20" s="1"/>
  <c r="AF23" i="20" s="1"/>
  <c r="AF24" i="20" s="1"/>
  <c r="AF25" i="20" s="1"/>
  <c r="AF27" i="20" s="1"/>
  <c r="AD2" i="20"/>
  <c r="X2" i="20"/>
  <c r="Y2" i="20" s="1"/>
  <c r="J2" i="20"/>
  <c r="C2" i="20" s="1"/>
  <c r="M13" i="19"/>
  <c r="L13" i="19"/>
  <c r="K13" i="19"/>
  <c r="J13" i="19"/>
  <c r="I13" i="19"/>
  <c r="H13" i="19"/>
  <c r="G13" i="19"/>
  <c r="E13" i="19"/>
  <c r="D13" i="19"/>
  <c r="C13" i="19"/>
  <c r="B13" i="19"/>
  <c r="F13" i="19"/>
  <c r="G8" i="19"/>
  <c r="G9" i="19"/>
  <c r="G10" i="19"/>
  <c r="J9" i="19"/>
  <c r="J8" i="19"/>
  <c r="A3" i="19"/>
  <c r="A4" i="19"/>
  <c r="A5" i="19" s="1"/>
  <c r="A6" i="19" s="1"/>
  <c r="A7" i="19" s="1"/>
  <c r="A8" i="19" s="1"/>
  <c r="A9" i="19" s="1"/>
  <c r="A10" i="19" s="1"/>
  <c r="AD3" i="20" l="1"/>
  <c r="AD4" i="20" s="1"/>
  <c r="AD5" i="20" s="1"/>
  <c r="AD6" i="20" s="1"/>
  <c r="AD7" i="20" s="1"/>
  <c r="AD8" i="20" s="1"/>
  <c r="AD9" i="20" s="1"/>
  <c r="AD10" i="20" s="1"/>
  <c r="AD11" i="20" s="1"/>
  <c r="AD12" i="20" s="1"/>
  <c r="AD13" i="20" s="1"/>
  <c r="AD14" i="20" s="1"/>
  <c r="AD15" i="20" s="1"/>
  <c r="AD16" i="20" s="1"/>
  <c r="AD17" i="20" s="1"/>
  <c r="AD18" i="20" s="1"/>
  <c r="AD19" i="20" s="1"/>
  <c r="AD20" i="20" s="1"/>
  <c r="AD21" i="20" s="1"/>
  <c r="AD22" i="20" s="1"/>
  <c r="AD23" i="20" s="1"/>
  <c r="AD24" i="20" s="1"/>
  <c r="AD25" i="20" s="1"/>
  <c r="E5" i="20"/>
  <c r="J3" i="20"/>
  <c r="E6" i="20"/>
  <c r="I25" i="20"/>
  <c r="C15" i="20"/>
  <c r="E17" i="20"/>
  <c r="K16" i="20"/>
  <c r="L16" i="20" s="1"/>
  <c r="G6" i="20"/>
  <c r="C16" i="20"/>
  <c r="G54" i="20"/>
  <c r="G16" i="20"/>
  <c r="K48" i="20"/>
  <c r="L48" i="20" s="1"/>
  <c r="Z2" i="20"/>
  <c r="AL2" i="20" s="1"/>
  <c r="W27" i="20"/>
  <c r="W26" i="20"/>
  <c r="W28" i="20" s="1"/>
  <c r="T26" i="20"/>
  <c r="T28" i="20" s="1"/>
  <c r="T27" i="20"/>
  <c r="AC27" i="20"/>
  <c r="AC26" i="20"/>
  <c r="AC28" i="20" s="1"/>
  <c r="AI27" i="20"/>
  <c r="AI26" i="20"/>
  <c r="AI28" i="20" s="1"/>
  <c r="AI29" i="20" s="1"/>
  <c r="AI30" i="20" s="1"/>
  <c r="AI31" i="20" s="1"/>
  <c r="AI32" i="20" s="1"/>
  <c r="AI33" i="20" s="1"/>
  <c r="AI34" i="20" s="1"/>
  <c r="AI35" i="20" s="1"/>
  <c r="AI36" i="20" s="1"/>
  <c r="AI37" i="20" s="1"/>
  <c r="AI38" i="20" s="1"/>
  <c r="AI39" i="20" s="1"/>
  <c r="AI40" i="20" s="1"/>
  <c r="AI41" i="20" s="1"/>
  <c r="K8" i="20"/>
  <c r="L8" i="20" s="1"/>
  <c r="K10" i="20"/>
  <c r="L10" i="20" s="1"/>
  <c r="I10" i="20"/>
  <c r="G10" i="20"/>
  <c r="E10" i="20"/>
  <c r="C10" i="20"/>
  <c r="L12" i="20"/>
  <c r="K12" i="20"/>
  <c r="I12" i="20"/>
  <c r="G12" i="20"/>
  <c r="E12" i="20"/>
  <c r="C12" i="20"/>
  <c r="R26" i="20"/>
  <c r="R28" i="20" s="1"/>
  <c r="R27" i="20"/>
  <c r="E20" i="20"/>
  <c r="I20" i="20"/>
  <c r="G20" i="20"/>
  <c r="C20" i="20"/>
  <c r="K20" i="20"/>
  <c r="L20" i="20" s="1"/>
  <c r="E7" i="20"/>
  <c r="C7" i="20"/>
  <c r="K7" i="20"/>
  <c r="L7" i="20" s="1"/>
  <c r="I52" i="20"/>
  <c r="G52" i="20"/>
  <c r="E52" i="20"/>
  <c r="K52" i="20"/>
  <c r="L52" i="20"/>
  <c r="C52" i="20"/>
  <c r="AK27" i="20"/>
  <c r="AK26" i="20"/>
  <c r="AK28" i="20" s="1"/>
  <c r="AK29" i="20" s="1"/>
  <c r="AK30" i="20" s="1"/>
  <c r="AK31" i="20" s="1"/>
  <c r="AK32" i="20" s="1"/>
  <c r="AK33" i="20" s="1"/>
  <c r="AK34" i="20" s="1"/>
  <c r="AK35" i="20" s="1"/>
  <c r="AK36" i="20" s="1"/>
  <c r="AK37" i="20" s="1"/>
  <c r="AK38" i="20" s="1"/>
  <c r="AK39" i="20" s="1"/>
  <c r="AK40" i="20" s="1"/>
  <c r="AK41" i="20" s="1"/>
  <c r="AK42" i="20" s="1"/>
  <c r="AK43" i="20" s="1"/>
  <c r="AK44" i="20" s="1"/>
  <c r="AK45" i="20" s="1"/>
  <c r="AK46" i="20" s="1"/>
  <c r="AK47" i="20" s="1"/>
  <c r="AK48" i="20" s="1"/>
  <c r="AK49" i="20" s="1"/>
  <c r="AK50" i="20" s="1"/>
  <c r="AK51" i="20" s="1"/>
  <c r="AK52" i="20" s="1"/>
  <c r="AK53" i="20" s="1"/>
  <c r="AK54" i="20" s="1"/>
  <c r="V27" i="20"/>
  <c r="V26" i="20"/>
  <c r="V28" i="20" s="1"/>
  <c r="I7" i="20"/>
  <c r="I9" i="20"/>
  <c r="G9" i="20"/>
  <c r="E9" i="20"/>
  <c r="C9" i="20"/>
  <c r="C30" i="20"/>
  <c r="E30" i="20"/>
  <c r="I30" i="20"/>
  <c r="G30" i="20"/>
  <c r="I28" i="20"/>
  <c r="G28" i="20"/>
  <c r="E28" i="20"/>
  <c r="C28" i="20"/>
  <c r="K28" i="20"/>
  <c r="L28" i="20" s="1"/>
  <c r="G21" i="20"/>
  <c r="C21" i="20"/>
  <c r="K21" i="20"/>
  <c r="L21" i="20"/>
  <c r="I21" i="20"/>
  <c r="E21" i="20"/>
  <c r="E31" i="20"/>
  <c r="K31" i="20"/>
  <c r="L31" i="20" s="1"/>
  <c r="G31" i="20"/>
  <c r="I31" i="20"/>
  <c r="C31" i="20"/>
  <c r="K34" i="20"/>
  <c r="L34" i="20" s="1"/>
  <c r="E34" i="20"/>
  <c r="C34" i="20"/>
  <c r="I34" i="20"/>
  <c r="G34" i="20"/>
  <c r="L59" i="20"/>
  <c r="P2" i="20"/>
  <c r="I2" i="20"/>
  <c r="G2" i="20"/>
  <c r="E2" i="20"/>
  <c r="K9" i="20"/>
  <c r="L9" i="20" s="1"/>
  <c r="K11" i="20"/>
  <c r="L11" i="20" s="1"/>
  <c r="I11" i="20"/>
  <c r="G11" i="20"/>
  <c r="E11" i="20"/>
  <c r="C11" i="20"/>
  <c r="C19" i="20"/>
  <c r="G19" i="20"/>
  <c r="I19" i="20"/>
  <c r="E19" i="20"/>
  <c r="C3" i="20"/>
  <c r="K5" i="20"/>
  <c r="L5" i="20" s="1"/>
  <c r="I5" i="20"/>
  <c r="G5" i="20"/>
  <c r="K13" i="20"/>
  <c r="L13" i="20" s="1"/>
  <c r="I13" i="20"/>
  <c r="G13" i="20"/>
  <c r="E13" i="20"/>
  <c r="C13" i="20"/>
  <c r="AZ26" i="20"/>
  <c r="AZ28" i="20" s="1"/>
  <c r="AZ27" i="20"/>
  <c r="K26" i="20"/>
  <c r="L26" i="20" s="1"/>
  <c r="E26" i="20"/>
  <c r="C26" i="20"/>
  <c r="I26" i="20"/>
  <c r="G26" i="20"/>
  <c r="K4" i="20"/>
  <c r="L4" i="20" s="1"/>
  <c r="I4" i="20"/>
  <c r="G4" i="20"/>
  <c r="E4" i="20"/>
  <c r="G32" i="20"/>
  <c r="K32" i="20"/>
  <c r="L32" i="20" s="1"/>
  <c r="I32" i="20"/>
  <c r="C32" i="20"/>
  <c r="E32" i="20"/>
  <c r="C38" i="20"/>
  <c r="I38" i="20"/>
  <c r="G38" i="20"/>
  <c r="E38" i="20"/>
  <c r="C4" i="20"/>
  <c r="G8" i="20"/>
  <c r="E8" i="20"/>
  <c r="C8" i="20"/>
  <c r="AF26" i="20"/>
  <c r="AF28" i="20" s="1"/>
  <c r="I44" i="20"/>
  <c r="G44" i="20"/>
  <c r="C44" i="20"/>
  <c r="E44" i="20"/>
  <c r="K23" i="20"/>
  <c r="G23" i="20"/>
  <c r="C23" i="20"/>
  <c r="L23" i="20"/>
  <c r="I23" i="20"/>
  <c r="E23" i="20"/>
  <c r="M5" i="20"/>
  <c r="AY4" i="20"/>
  <c r="AW4" i="20"/>
  <c r="I22" i="20"/>
  <c r="E22" i="20"/>
  <c r="K22" i="20"/>
  <c r="L22" i="20" s="1"/>
  <c r="G22" i="20"/>
  <c r="C22" i="20"/>
  <c r="K15" i="20"/>
  <c r="L15" i="20" s="1"/>
  <c r="G15" i="20"/>
  <c r="K33" i="20"/>
  <c r="L33" i="20" s="1"/>
  <c r="C48" i="20"/>
  <c r="E47" i="20"/>
  <c r="C47" i="20"/>
  <c r="K47" i="20"/>
  <c r="L47" i="20" s="1"/>
  <c r="G47" i="20"/>
  <c r="I49" i="20"/>
  <c r="G49" i="20"/>
  <c r="C49" i="20"/>
  <c r="E49" i="20"/>
  <c r="I48" i="20"/>
  <c r="K49" i="20"/>
  <c r="L49" i="20" s="1"/>
  <c r="AO3" i="20"/>
  <c r="AP3" i="20" s="1"/>
  <c r="AP4" i="20" s="1"/>
  <c r="I6" i="20"/>
  <c r="J18" i="20"/>
  <c r="K19" i="20" s="1"/>
  <c r="L19" i="20" s="1"/>
  <c r="I47" i="20"/>
  <c r="E39" i="20"/>
  <c r="I39" i="20"/>
  <c r="C39" i="20"/>
  <c r="C46" i="20"/>
  <c r="I46" i="20"/>
  <c r="E46" i="20"/>
  <c r="K6" i="20"/>
  <c r="J35" i="20"/>
  <c r="C53" i="20"/>
  <c r="K53" i="20"/>
  <c r="I53" i="20"/>
  <c r="G53" i="20"/>
  <c r="E53" i="20"/>
  <c r="L6" i="20"/>
  <c r="C14" i="20"/>
  <c r="K17" i="20"/>
  <c r="L17" i="20" s="1"/>
  <c r="G17" i="20"/>
  <c r="C17" i="20"/>
  <c r="G25" i="20"/>
  <c r="C25" i="20"/>
  <c r="G39" i="20"/>
  <c r="G40" i="20"/>
  <c r="K40" i="20"/>
  <c r="L40" i="20" s="1"/>
  <c r="I40" i="20"/>
  <c r="E40" i="20"/>
  <c r="I16" i="20"/>
  <c r="E16" i="20"/>
  <c r="C40" i="20"/>
  <c r="E54" i="20"/>
  <c r="C54" i="20"/>
  <c r="K54" i="20"/>
  <c r="L54" i="20" s="1"/>
  <c r="AW3" i="20"/>
  <c r="J36" i="20"/>
  <c r="K39" i="20"/>
  <c r="E15" i="20"/>
  <c r="L39" i="20"/>
  <c r="AY3" i="20"/>
  <c r="I14" i="20"/>
  <c r="E14" i="20"/>
  <c r="J24" i="20"/>
  <c r="K25" i="20" s="1"/>
  <c r="L25" i="20" s="1"/>
  <c r="I33" i="20"/>
  <c r="C33" i="20"/>
  <c r="G33" i="20"/>
  <c r="E33" i="20"/>
  <c r="I41" i="20"/>
  <c r="C41" i="20"/>
  <c r="K41" i="20"/>
  <c r="L41" i="20" s="1"/>
  <c r="G41" i="20"/>
  <c r="E41" i="20"/>
  <c r="J43" i="20"/>
  <c r="G51" i="20"/>
  <c r="E51" i="20"/>
  <c r="I51" i="20"/>
  <c r="C51" i="20"/>
  <c r="K14" i="20"/>
  <c r="L14" i="20" s="1"/>
  <c r="G27" i="20"/>
  <c r="E27" i="20"/>
  <c r="K27" i="20"/>
  <c r="L27" i="20" s="1"/>
  <c r="I27" i="20"/>
  <c r="J45" i="20"/>
  <c r="G48" i="20"/>
  <c r="E48" i="20"/>
  <c r="J50" i="20"/>
  <c r="K51" i="20" s="1"/>
  <c r="L51" i="20" s="1"/>
  <c r="U58" i="20"/>
  <c r="J37" i="20"/>
  <c r="K38" i="20" s="1"/>
  <c r="L38" i="20" s="1"/>
  <c r="J42" i="20"/>
  <c r="J29" i="20"/>
  <c r="K30" i="20" s="1"/>
  <c r="L30" i="20" s="1"/>
  <c r="AA2" i="20" l="1"/>
  <c r="O3" i="20"/>
  <c r="P3" i="20" s="1"/>
  <c r="Q3" i="20" s="1"/>
  <c r="G3" i="20"/>
  <c r="E3" i="20"/>
  <c r="K3" i="20"/>
  <c r="L3" i="20" s="1"/>
  <c r="I3" i="20"/>
  <c r="L53" i="20"/>
  <c r="W29" i="20"/>
  <c r="W30" i="20" s="1"/>
  <c r="W31" i="20" s="1"/>
  <c r="W32" i="20" s="1"/>
  <c r="W33" i="20" s="1"/>
  <c r="W34" i="20" s="1"/>
  <c r="W35" i="20" s="1"/>
  <c r="W36" i="20" s="1"/>
  <c r="W37" i="20" s="1"/>
  <c r="W38" i="20" s="1"/>
  <c r="W39" i="20" s="1"/>
  <c r="W40" i="20" s="1"/>
  <c r="W41" i="20" s="1"/>
  <c r="W54" i="20"/>
  <c r="G35" i="20"/>
  <c r="E35" i="20"/>
  <c r="K35" i="20"/>
  <c r="L35" i="20" s="1"/>
  <c r="I35" i="20"/>
  <c r="C35" i="20"/>
  <c r="M6" i="20"/>
  <c r="AY5" i="20"/>
  <c r="AW5" i="20"/>
  <c r="AO5" i="20"/>
  <c r="AP5" i="20" s="1"/>
  <c r="J55" i="20"/>
  <c r="G43" i="20"/>
  <c r="E43" i="20"/>
  <c r="K43" i="20"/>
  <c r="L43" i="20" s="1"/>
  <c r="C43" i="20"/>
  <c r="I43" i="20"/>
  <c r="AF54" i="20"/>
  <c r="AF29" i="20"/>
  <c r="AF30" i="20" s="1"/>
  <c r="AF31" i="20" s="1"/>
  <c r="AF32" i="20" s="1"/>
  <c r="AF33" i="20" s="1"/>
  <c r="AF34" i="20" s="1"/>
  <c r="AF35" i="20" s="1"/>
  <c r="AF36" i="20" s="1"/>
  <c r="AF37" i="20" s="1"/>
  <c r="AF38" i="20" s="1"/>
  <c r="AF39" i="20" s="1"/>
  <c r="AF40" i="20" s="1"/>
  <c r="AF41" i="20" s="1"/>
  <c r="R54" i="20"/>
  <c r="R29" i="20"/>
  <c r="R30" i="20" s="1"/>
  <c r="R31" i="20" s="1"/>
  <c r="R32" i="20" s="1"/>
  <c r="R33" i="20" s="1"/>
  <c r="R34" i="20" s="1"/>
  <c r="R35" i="20" s="1"/>
  <c r="R36" i="20" s="1"/>
  <c r="R37" i="20" s="1"/>
  <c r="R38" i="20" s="1"/>
  <c r="R39" i="20" s="1"/>
  <c r="R40" i="20" s="1"/>
  <c r="R41" i="20" s="1"/>
  <c r="S41" i="20" s="1"/>
  <c r="K29" i="20"/>
  <c r="L29" i="20" s="1"/>
  <c r="I29" i="20"/>
  <c r="G29" i="20"/>
  <c r="C29" i="20"/>
  <c r="E29" i="20"/>
  <c r="AI43" i="20"/>
  <c r="AI42" i="20"/>
  <c r="AI44" i="20" s="1"/>
  <c r="AI45" i="20" s="1"/>
  <c r="AI46" i="20" s="1"/>
  <c r="AI47" i="20" s="1"/>
  <c r="AI48" i="20" s="1"/>
  <c r="AI49" i="20" s="1"/>
  <c r="AI50" i="20" s="1"/>
  <c r="AI51" i="20" s="1"/>
  <c r="AI52" i="20" s="1"/>
  <c r="AI53" i="20" s="1"/>
  <c r="AI54" i="20" s="1"/>
  <c r="K45" i="20"/>
  <c r="L45" i="20" s="1"/>
  <c r="I45" i="20"/>
  <c r="G45" i="20"/>
  <c r="E45" i="20"/>
  <c r="C45" i="20"/>
  <c r="V54" i="20"/>
  <c r="V29" i="20"/>
  <c r="V30" i="20" s="1"/>
  <c r="V31" i="20" s="1"/>
  <c r="V32" i="20" s="1"/>
  <c r="V33" i="20" s="1"/>
  <c r="V34" i="20" s="1"/>
  <c r="V35" i="20" s="1"/>
  <c r="V36" i="20" s="1"/>
  <c r="V37" i="20" s="1"/>
  <c r="V38" i="20" s="1"/>
  <c r="V39" i="20" s="1"/>
  <c r="V40" i="20" s="1"/>
  <c r="V41" i="20" s="1"/>
  <c r="K46" i="20"/>
  <c r="L46" i="20" s="1"/>
  <c r="AU2" i="20"/>
  <c r="AR2" i="20"/>
  <c r="AM2" i="20"/>
  <c r="AC54" i="20"/>
  <c r="AC29" i="20"/>
  <c r="U54" i="20"/>
  <c r="U39" i="20"/>
  <c r="S54" i="20"/>
  <c r="U34" i="20"/>
  <c r="U26" i="20"/>
  <c r="U27" i="20"/>
  <c r="S26" i="20"/>
  <c r="S32" i="20"/>
  <c r="U20" i="20"/>
  <c r="S19" i="20"/>
  <c r="U30" i="20"/>
  <c r="U22" i="20"/>
  <c r="S21" i="20"/>
  <c r="U14" i="20"/>
  <c r="S29" i="20"/>
  <c r="U28" i="20"/>
  <c r="U24" i="20"/>
  <c r="S23" i="20"/>
  <c r="U16" i="20"/>
  <c r="U38" i="20"/>
  <c r="S25" i="20"/>
  <c r="U18" i="20"/>
  <c r="U32" i="20"/>
  <c r="U13" i="20"/>
  <c r="U7" i="20"/>
  <c r="S6" i="20"/>
  <c r="U23" i="20"/>
  <c r="S13" i="20"/>
  <c r="U2" i="20"/>
  <c r="U8" i="20"/>
  <c r="S7" i="20"/>
  <c r="S2" i="20"/>
  <c r="U21" i="20"/>
  <c r="S28" i="20"/>
  <c r="U19" i="20"/>
  <c r="U9" i="20"/>
  <c r="S8" i="20"/>
  <c r="U41" i="20"/>
  <c r="S36" i="20"/>
  <c r="S12" i="20"/>
  <c r="S24" i="20"/>
  <c r="U15" i="20"/>
  <c r="U10" i="20"/>
  <c r="S9" i="20"/>
  <c r="S15" i="20"/>
  <c r="S16" i="20"/>
  <c r="U11" i="20"/>
  <c r="S10" i="20"/>
  <c r="U3" i="20"/>
  <c r="S20" i="20"/>
  <c r="U17" i="20"/>
  <c r="U25" i="20"/>
  <c r="S14" i="20"/>
  <c r="U12" i="20"/>
  <c r="S11" i="20"/>
  <c r="U4" i="20"/>
  <c r="S3" i="20"/>
  <c r="U36" i="20"/>
  <c r="S27" i="20"/>
  <c r="S17" i="20"/>
  <c r="S40" i="20"/>
  <c r="S22" i="20"/>
  <c r="S18" i="20"/>
  <c r="U6" i="20"/>
  <c r="S4" i="20"/>
  <c r="U5" i="20"/>
  <c r="S5" i="20"/>
  <c r="I36" i="20"/>
  <c r="G36" i="20"/>
  <c r="K36" i="20"/>
  <c r="L36" i="20" s="1"/>
  <c r="E36" i="20"/>
  <c r="C36" i="20"/>
  <c r="K42" i="20"/>
  <c r="L42" i="20" s="1"/>
  <c r="E42" i="20"/>
  <c r="C42" i="20"/>
  <c r="I42" i="20"/>
  <c r="G42" i="20"/>
  <c r="K37" i="20"/>
  <c r="L37" i="20" s="1"/>
  <c r="I37" i="20"/>
  <c r="G37" i="20"/>
  <c r="E37" i="20"/>
  <c r="C37" i="20"/>
  <c r="K44" i="20"/>
  <c r="L44" i="20" s="1"/>
  <c r="AZ54" i="20"/>
  <c r="AZ29" i="20"/>
  <c r="AZ30" i="20" s="1"/>
  <c r="AZ31" i="20" s="1"/>
  <c r="AZ32" i="20" s="1"/>
  <c r="AZ33" i="20" s="1"/>
  <c r="AZ34" i="20" s="1"/>
  <c r="AZ35" i="20" s="1"/>
  <c r="AZ36" i="20" s="1"/>
  <c r="AZ37" i="20" s="1"/>
  <c r="AZ38" i="20" s="1"/>
  <c r="AZ39" i="20" s="1"/>
  <c r="AZ40" i="20" s="1"/>
  <c r="AZ41" i="20" s="1"/>
  <c r="I18" i="20"/>
  <c r="E18" i="20"/>
  <c r="K18" i="20"/>
  <c r="L18" i="20" s="1"/>
  <c r="G18" i="20"/>
  <c r="C18" i="20"/>
  <c r="K50" i="20"/>
  <c r="L50" i="20" s="1"/>
  <c r="I50" i="20"/>
  <c r="E50" i="20"/>
  <c r="C50" i="20"/>
  <c r="G50" i="20"/>
  <c r="T54" i="20"/>
  <c r="T29" i="20"/>
  <c r="T30" i="20" s="1"/>
  <c r="T31" i="20" s="1"/>
  <c r="T32" i="20" s="1"/>
  <c r="T33" i="20" s="1"/>
  <c r="T34" i="20" s="1"/>
  <c r="T35" i="20" s="1"/>
  <c r="T36" i="20" s="1"/>
  <c r="T37" i="20" s="1"/>
  <c r="T38" i="20" s="1"/>
  <c r="T39" i="20" s="1"/>
  <c r="T40" i="20" s="1"/>
  <c r="T41" i="20" s="1"/>
  <c r="I24" i="20"/>
  <c r="E24" i="20"/>
  <c r="C24" i="20"/>
  <c r="K24" i="20"/>
  <c r="L24" i="20" s="1"/>
  <c r="G24" i="20"/>
  <c r="AD26" i="20"/>
  <c r="AD27" i="20" s="1"/>
  <c r="AD28" i="20" s="1"/>
  <c r="AD29" i="20" l="1"/>
  <c r="X3" i="20"/>
  <c r="Y3" i="20" s="1"/>
  <c r="O4" i="20"/>
  <c r="P4" i="20" s="1"/>
  <c r="L55" i="20"/>
  <c r="S38" i="20"/>
  <c r="V43" i="20"/>
  <c r="V42" i="20"/>
  <c r="V44" i="20" s="1"/>
  <c r="V45" i="20" s="1"/>
  <c r="V46" i="20" s="1"/>
  <c r="V47" i="20" s="1"/>
  <c r="R58" i="20"/>
  <c r="R59" i="20"/>
  <c r="AH58" i="20"/>
  <c r="AJ59" i="20"/>
  <c r="S33" i="20"/>
  <c r="AZ42" i="20"/>
  <c r="AZ44" i="20" s="1"/>
  <c r="AZ45" i="20" s="1"/>
  <c r="AZ46" i="20" s="1"/>
  <c r="AZ47" i="20" s="1"/>
  <c r="AZ43" i="20"/>
  <c r="AC30" i="20"/>
  <c r="AC31" i="20" s="1"/>
  <c r="AC32" i="20" s="1"/>
  <c r="AC33" i="20" s="1"/>
  <c r="AC34" i="20" s="1"/>
  <c r="AC35" i="20" s="1"/>
  <c r="AC36" i="20" s="1"/>
  <c r="AC37" i="20" s="1"/>
  <c r="AC38" i="20" s="1"/>
  <c r="AC39" i="20" s="1"/>
  <c r="AC40" i="20" s="1"/>
  <c r="AC41" i="20" s="1"/>
  <c r="AF43" i="20"/>
  <c r="AF42" i="20"/>
  <c r="AF44" i="20" s="1"/>
  <c r="AF45" i="20" s="1"/>
  <c r="AF46" i="20" s="1"/>
  <c r="AF47" i="20" s="1"/>
  <c r="AO6" i="20"/>
  <c r="AP6" i="20" s="1"/>
  <c r="M7" i="20"/>
  <c r="AY6" i="20"/>
  <c r="AW6" i="20"/>
  <c r="S37" i="20"/>
  <c r="U29" i="20"/>
  <c r="S35" i="20"/>
  <c r="R43" i="20"/>
  <c r="S43" i="20" s="1"/>
  <c r="R42" i="20"/>
  <c r="AX2" i="20"/>
  <c r="S39" i="20"/>
  <c r="AS2" i="20"/>
  <c r="U40" i="20"/>
  <c r="AV2" i="20"/>
  <c r="S34" i="20"/>
  <c r="W43" i="20"/>
  <c r="W42" i="20"/>
  <c r="W44" i="20" s="1"/>
  <c r="W45" i="20" s="1"/>
  <c r="W46" i="20" s="1"/>
  <c r="W47" i="20" s="1"/>
  <c r="T42" i="20"/>
  <c r="T43" i="20"/>
  <c r="U43" i="20" s="1"/>
  <c r="U33" i="20"/>
  <c r="S31" i="20"/>
  <c r="S30" i="20"/>
  <c r="U37" i="20"/>
  <c r="U35" i="20"/>
  <c r="U31" i="20"/>
  <c r="R60" i="20" l="1"/>
  <c r="BB2" i="20"/>
  <c r="BA2" i="20"/>
  <c r="W48" i="20"/>
  <c r="W50" i="20" s="1"/>
  <c r="W53" i="20" s="1"/>
  <c r="W49" i="20"/>
  <c r="V48" i="20"/>
  <c r="V50" i="20" s="1"/>
  <c r="V53" i="20" s="1"/>
  <c r="V49" i="20"/>
  <c r="AZ48" i="20"/>
  <c r="AZ50" i="20" s="1"/>
  <c r="AZ53" i="20" s="1"/>
  <c r="AZ49" i="20"/>
  <c r="R44" i="20"/>
  <c r="S42" i="20"/>
  <c r="T44" i="20"/>
  <c r="U42" i="20"/>
  <c r="AO7" i="20"/>
  <c r="AP7" i="20" s="1"/>
  <c r="M8" i="20"/>
  <c r="AY7" i="20"/>
  <c r="AW7" i="20"/>
  <c r="AD30" i="20"/>
  <c r="AD31" i="20" s="1"/>
  <c r="AD32" i="20" s="1"/>
  <c r="AD33" i="20" s="1"/>
  <c r="AD34" i="20" s="1"/>
  <c r="AD35" i="20" s="1"/>
  <c r="AD36" i="20" s="1"/>
  <c r="AD37" i="20" s="1"/>
  <c r="AD38" i="20" s="1"/>
  <c r="AD39" i="20" s="1"/>
  <c r="AD40" i="20" s="1"/>
  <c r="AD41" i="20" s="1"/>
  <c r="AC42" i="20"/>
  <c r="AC44" i="20" s="1"/>
  <c r="AC45" i="20" s="1"/>
  <c r="AC46" i="20" s="1"/>
  <c r="AC47" i="20" s="1"/>
  <c r="AC43" i="20"/>
  <c r="AF48" i="20"/>
  <c r="AF50" i="20" s="1"/>
  <c r="AF53" i="20" s="1"/>
  <c r="AF49" i="20"/>
  <c r="X4" i="20"/>
  <c r="Q4" i="20"/>
  <c r="Z3" i="20"/>
  <c r="AD42" i="20" l="1"/>
  <c r="AD43" i="20" s="1"/>
  <c r="AD44" i="20" s="1"/>
  <c r="AD45" i="20" s="1"/>
  <c r="AD46" i="20" s="1"/>
  <c r="AD47" i="20" s="1"/>
  <c r="T45" i="20"/>
  <c r="U44" i="20"/>
  <c r="Y4" i="20"/>
  <c r="O5" i="20"/>
  <c r="P5" i="20" s="1"/>
  <c r="AL3" i="20"/>
  <c r="AA3" i="20"/>
  <c r="AZ51" i="20"/>
  <c r="AZ52" i="20"/>
  <c r="AC49" i="20"/>
  <c r="AC48" i="20"/>
  <c r="AO8" i="20"/>
  <c r="AP8" i="20" s="1"/>
  <c r="M9" i="20"/>
  <c r="AY8" i="20"/>
  <c r="AW8" i="20"/>
  <c r="R45" i="20"/>
  <c r="S44" i="20"/>
  <c r="AF51" i="20"/>
  <c r="AF52" i="20"/>
  <c r="V51" i="20"/>
  <c r="V52" i="20"/>
  <c r="W51" i="20"/>
  <c r="W52" i="20"/>
  <c r="AC51" i="20" l="1"/>
  <c r="AC52" i="20"/>
  <c r="AU3" i="20"/>
  <c r="AR3" i="20"/>
  <c r="AM3" i="20"/>
  <c r="AW9" i="20"/>
  <c r="AO9" i="20"/>
  <c r="AP9" i="20" s="1"/>
  <c r="AY9" i="20"/>
  <c r="M10" i="20"/>
  <c r="AC50" i="20"/>
  <c r="AC53" i="20" s="1"/>
  <c r="AC55" i="20"/>
  <c r="AD48" i="20"/>
  <c r="AD49" i="20" s="1"/>
  <c r="AD50" i="20" s="1"/>
  <c r="AD51" i="20" s="1"/>
  <c r="AD52" i="20" s="1"/>
  <c r="AD53" i="20" s="1"/>
  <c r="AD54" i="20" s="1"/>
  <c r="Q5" i="20"/>
  <c r="X5" i="20"/>
  <c r="Z4" i="20"/>
  <c r="AA4" i="20" s="1"/>
  <c r="T46" i="20"/>
  <c r="U45" i="20"/>
  <c r="R46" i="20"/>
  <c r="S45" i="20"/>
  <c r="R47" i="20" l="1"/>
  <c r="S46" i="20"/>
  <c r="AV3" i="20"/>
  <c r="AX3" i="20"/>
  <c r="M11" i="20"/>
  <c r="AY10" i="20"/>
  <c r="AW10" i="20"/>
  <c r="AO10" i="20"/>
  <c r="AP10" i="20" s="1"/>
  <c r="AS3" i="20"/>
  <c r="T47" i="20"/>
  <c r="U46" i="20"/>
  <c r="AL4" i="20"/>
  <c r="AM4" i="20" s="1"/>
  <c r="Y5" i="20"/>
  <c r="O6" i="20"/>
  <c r="P6" i="20" s="1"/>
  <c r="M12" i="20" l="1"/>
  <c r="AY11" i="20"/>
  <c r="AW11" i="20"/>
  <c r="AO11" i="20"/>
  <c r="AP11" i="20" s="1"/>
  <c r="Z5" i="20"/>
  <c r="T48" i="20"/>
  <c r="T49" i="20"/>
  <c r="U47" i="20"/>
  <c r="AX4" i="20"/>
  <c r="BA3" i="20"/>
  <c r="BB3" i="20"/>
  <c r="Q6" i="20"/>
  <c r="X6" i="20"/>
  <c r="R49" i="20"/>
  <c r="R48" i="20"/>
  <c r="S47" i="20"/>
  <c r="AU4" i="20"/>
  <c r="AR4" i="20"/>
  <c r="AV4" i="20" l="1"/>
  <c r="BB4" i="20"/>
  <c r="BA4" i="20"/>
  <c r="T51" i="20"/>
  <c r="U51" i="20" s="1"/>
  <c r="T52" i="20"/>
  <c r="U52" i="20" s="1"/>
  <c r="U49" i="20"/>
  <c r="T50" i="20"/>
  <c r="U48" i="20"/>
  <c r="AL5" i="20"/>
  <c r="AA5" i="20"/>
  <c r="AA6" i="20" s="1"/>
  <c r="R50" i="20"/>
  <c r="S48" i="20"/>
  <c r="R52" i="20"/>
  <c r="S52" i="20" s="1"/>
  <c r="R51" i="20"/>
  <c r="S51" i="20" s="1"/>
  <c r="S49" i="20"/>
  <c r="AY12" i="20"/>
  <c r="AO12" i="20"/>
  <c r="AP12" i="20" s="1"/>
  <c r="M13" i="20"/>
  <c r="AW12" i="20"/>
  <c r="Y6" i="20"/>
  <c r="Z6" i="20" s="1"/>
  <c r="AL6" i="20" s="1"/>
  <c r="O7" i="20"/>
  <c r="P7" i="20" s="1"/>
  <c r="AS4" i="20"/>
  <c r="R53" i="20" l="1"/>
  <c r="S53" i="20" s="1"/>
  <c r="S50" i="20"/>
  <c r="T53" i="20"/>
  <c r="U53" i="20" s="1"/>
  <c r="U50" i="20"/>
  <c r="Q7" i="20"/>
  <c r="X7" i="20"/>
  <c r="AU5" i="20"/>
  <c r="AR5" i="20"/>
  <c r="AM5" i="20"/>
  <c r="AU6" i="20"/>
  <c r="AR6" i="20"/>
  <c r="AO13" i="20"/>
  <c r="AP13" i="20" s="1"/>
  <c r="AY13" i="20"/>
  <c r="M14" i="20"/>
  <c r="AW13" i="20"/>
  <c r="Y7" i="20" l="1"/>
  <c r="Z7" i="20" s="1"/>
  <c r="O8" i="20"/>
  <c r="P8" i="20" s="1"/>
  <c r="AW14" i="20"/>
  <c r="AY14" i="20"/>
  <c r="M15" i="20"/>
  <c r="AO14" i="20"/>
  <c r="AP14" i="20" s="1"/>
  <c r="AM6" i="20"/>
  <c r="AX5" i="20"/>
  <c r="AV5" i="20"/>
  <c r="AV6" i="20" s="1"/>
  <c r="AS5" i="20"/>
  <c r="AS6" i="20" s="1"/>
  <c r="BB5" i="20" l="1"/>
  <c r="BA5" i="20"/>
  <c r="AX6" i="20"/>
  <c r="M16" i="20"/>
  <c r="AY15" i="20"/>
  <c r="AO15" i="20"/>
  <c r="AP15" i="20" s="1"/>
  <c r="AW15" i="20"/>
  <c r="Q8" i="20"/>
  <c r="X8" i="20"/>
  <c r="AL7" i="20"/>
  <c r="AA7" i="20"/>
  <c r="AR7" i="20" l="1"/>
  <c r="AS7" i="20" s="1"/>
  <c r="AU7" i="20"/>
  <c r="AV7" i="20" s="1"/>
  <c r="AW16" i="20"/>
  <c r="M17" i="20"/>
  <c r="AY16" i="20"/>
  <c r="AO16" i="20"/>
  <c r="AP16" i="20" s="1"/>
  <c r="AM7" i="20"/>
  <c r="Y8" i="20"/>
  <c r="Z8" i="20" s="1"/>
  <c r="AL8" i="20" s="1"/>
  <c r="O9" i="20"/>
  <c r="P9" i="20" s="1"/>
  <c r="BB6" i="20"/>
  <c r="BA6" i="20"/>
  <c r="AM8" i="20" l="1"/>
  <c r="AX7" i="20"/>
  <c r="X9" i="20"/>
  <c r="Q9" i="20"/>
  <c r="AU8" i="20"/>
  <c r="AV8" i="20" s="1"/>
  <c r="AR8" i="20"/>
  <c r="AS8" i="20" s="1"/>
  <c r="M18" i="20"/>
  <c r="AY17" i="20"/>
  <c r="AO17" i="20"/>
  <c r="AP17" i="20" s="1"/>
  <c r="AW17" i="20"/>
  <c r="AA8" i="20"/>
  <c r="AW18" i="20" l="1"/>
  <c r="AY18" i="20"/>
  <c r="AO18" i="20"/>
  <c r="AP18" i="20" s="1"/>
  <c r="M19" i="20"/>
  <c r="BB7" i="20"/>
  <c r="BA7" i="20"/>
  <c r="Y9" i="20"/>
  <c r="Z9" i="20" s="1"/>
  <c r="AL9" i="20" s="1"/>
  <c r="AM9" i="20" s="1"/>
  <c r="O10" i="20"/>
  <c r="P10" i="20" s="1"/>
  <c r="AX8" i="20"/>
  <c r="AX9" i="20" l="1"/>
  <c r="BB8" i="20"/>
  <c r="BA8" i="20"/>
  <c r="AU9" i="20"/>
  <c r="AV9" i="20" s="1"/>
  <c r="AR9" i="20"/>
  <c r="AS9" i="20" s="1"/>
  <c r="X10" i="20"/>
  <c r="Q10" i="20"/>
  <c r="AA9" i="20"/>
  <c r="AO19" i="20"/>
  <c r="M20" i="20"/>
  <c r="AY19" i="20"/>
  <c r="AW19" i="20"/>
  <c r="AP19" i="20"/>
  <c r="AW20" i="20" l="1"/>
  <c r="AO20" i="20"/>
  <c r="AP20" i="20" s="1"/>
  <c r="AY20" i="20"/>
  <c r="M21" i="20"/>
  <c r="Y10" i="20"/>
  <c r="Z10" i="20" s="1"/>
  <c r="AL10" i="20" s="1"/>
  <c r="O11" i="20"/>
  <c r="P11" i="20" s="1"/>
  <c r="BB9" i="20"/>
  <c r="BA9" i="20"/>
  <c r="Q11" i="20" l="1"/>
  <c r="X11" i="20"/>
  <c r="AU10" i="20"/>
  <c r="AV10" i="20" s="1"/>
  <c r="AR10" i="20"/>
  <c r="AS10" i="20" s="1"/>
  <c r="AM10" i="20"/>
  <c r="AO21" i="20"/>
  <c r="AP21" i="20" s="1"/>
  <c r="M22" i="20"/>
  <c r="AY21" i="20"/>
  <c r="AW21" i="20"/>
  <c r="AA10" i="20"/>
  <c r="AW22" i="20" l="1"/>
  <c r="AY22" i="20"/>
  <c r="M23" i="20"/>
  <c r="AO22" i="20"/>
  <c r="AP22" i="20" s="1"/>
  <c r="AX10" i="20"/>
  <c r="Y11" i="20"/>
  <c r="Z11" i="20" s="1"/>
  <c r="AL11" i="20" s="1"/>
  <c r="O12" i="20"/>
  <c r="P12" i="20" s="1"/>
  <c r="AA11" i="20" l="1"/>
  <c r="AU11" i="20"/>
  <c r="AV11" i="20" s="1"/>
  <c r="AR11" i="20"/>
  <c r="AS11" i="20" s="1"/>
  <c r="X12" i="20"/>
  <c r="Q12" i="20"/>
  <c r="AM11" i="20"/>
  <c r="BB10" i="20"/>
  <c r="BA10" i="20"/>
  <c r="M24" i="20"/>
  <c r="AY23" i="20"/>
  <c r="AO23" i="20"/>
  <c r="AP23" i="20" s="1"/>
  <c r="AW23" i="20"/>
  <c r="AW24" i="20" l="1"/>
  <c r="M25" i="20"/>
  <c r="AY24" i="20"/>
  <c r="AO24" i="20"/>
  <c r="AP24" i="20" s="1"/>
  <c r="AX11" i="20"/>
  <c r="Y12" i="20"/>
  <c r="Z12" i="20" s="1"/>
  <c r="O13" i="20"/>
  <c r="P13" i="20" s="1"/>
  <c r="AL12" i="20" l="1"/>
  <c r="AA12" i="20"/>
  <c r="Q13" i="20"/>
  <c r="X13" i="20"/>
  <c r="BA11" i="20"/>
  <c r="BB11" i="20"/>
  <c r="M27" i="20"/>
  <c r="AW25" i="20"/>
  <c r="AO25" i="20"/>
  <c r="AP25" i="20" s="1"/>
  <c r="M26" i="20"/>
  <c r="AY25" i="20"/>
  <c r="AY26" i="20" l="1"/>
  <c r="AO26" i="20"/>
  <c r="AP26" i="20" s="1"/>
  <c r="M28" i="20"/>
  <c r="AW26" i="20"/>
  <c r="AY27" i="20"/>
  <c r="AW27" i="20"/>
  <c r="AO27" i="20"/>
  <c r="Y13" i="20"/>
  <c r="Z13" i="20" s="1"/>
  <c r="AL13" i="20" s="1"/>
  <c r="O14" i="20"/>
  <c r="P14" i="20" s="1"/>
  <c r="AU12" i="20"/>
  <c r="AV12" i="20" s="1"/>
  <c r="AR12" i="20"/>
  <c r="AS12" i="20" s="1"/>
  <c r="AM12" i="20"/>
  <c r="AP27" i="20" l="1"/>
  <c r="AA13" i="20"/>
  <c r="AM13" i="20"/>
  <c r="AX12" i="20"/>
  <c r="X14" i="20"/>
  <c r="Q14" i="20"/>
  <c r="AW28" i="20"/>
  <c r="M54" i="20"/>
  <c r="M29" i="20"/>
  <c r="AY28" i="20"/>
  <c r="AO28" i="20"/>
  <c r="AU13" i="20"/>
  <c r="AV13" i="20" s="1"/>
  <c r="AR13" i="20"/>
  <c r="AS13" i="20" s="1"/>
  <c r="AP28" i="20" l="1"/>
  <c r="M30" i="20"/>
  <c r="AY29" i="20"/>
  <c r="AW29" i="20"/>
  <c r="AO29" i="20"/>
  <c r="AP29" i="20" s="1"/>
  <c r="Y14" i="20"/>
  <c r="Z14" i="20" s="1"/>
  <c r="O15" i="20"/>
  <c r="P15" i="20" s="1"/>
  <c r="BB12" i="20"/>
  <c r="BA12" i="20"/>
  <c r="AO54" i="20"/>
  <c r="AY54" i="20"/>
  <c r="AW54" i="20"/>
  <c r="AX13" i="20"/>
  <c r="AL14" i="20" l="1"/>
  <c r="AA14" i="20"/>
  <c r="BB13" i="20"/>
  <c r="BA13" i="20"/>
  <c r="X15" i="20"/>
  <c r="Q15" i="20"/>
  <c r="AO30" i="20"/>
  <c r="AP30" i="20" s="1"/>
  <c r="M31" i="20"/>
  <c r="AY30" i="20"/>
  <c r="AW30" i="20"/>
  <c r="O16" i="20" l="1"/>
  <c r="P16" i="20" s="1"/>
  <c r="Y15" i="20"/>
  <c r="Z15" i="20" s="1"/>
  <c r="AL15" i="20" s="1"/>
  <c r="M32" i="20"/>
  <c r="AW31" i="20"/>
  <c r="AY31" i="20"/>
  <c r="AO31" i="20"/>
  <c r="AP31" i="20" s="1"/>
  <c r="AR14" i="20"/>
  <c r="AS14" i="20" s="1"/>
  <c r="AU14" i="20"/>
  <c r="AV14" i="20" s="1"/>
  <c r="AM14" i="20"/>
  <c r="AA15" i="20" l="1"/>
  <c r="AX14" i="20"/>
  <c r="AM15" i="20"/>
  <c r="M33" i="20"/>
  <c r="AO32" i="20"/>
  <c r="AP32" i="20" s="1"/>
  <c r="AY32" i="20"/>
  <c r="AW32" i="20"/>
  <c r="AU15" i="20"/>
  <c r="AV15" i="20" s="1"/>
  <c r="AR15" i="20"/>
  <c r="AS15" i="20" s="1"/>
  <c r="X16" i="20"/>
  <c r="Q16" i="20"/>
  <c r="Y16" i="20" l="1"/>
  <c r="Z16" i="20" s="1"/>
  <c r="O17" i="20"/>
  <c r="P17" i="20" s="1"/>
  <c r="AW33" i="20"/>
  <c r="AO33" i="20"/>
  <c r="AP33" i="20" s="1"/>
  <c r="AY33" i="20"/>
  <c r="M34" i="20"/>
  <c r="AX15" i="20"/>
  <c r="BB14" i="20"/>
  <c r="BA14" i="20"/>
  <c r="BB15" i="20" l="1"/>
  <c r="BA15" i="20"/>
  <c r="M35" i="20"/>
  <c r="AY34" i="20"/>
  <c r="AO34" i="20"/>
  <c r="AP34" i="20" s="1"/>
  <c r="AW34" i="20"/>
  <c r="X17" i="20"/>
  <c r="Q17" i="20"/>
  <c r="AL16" i="20"/>
  <c r="AA16" i="20"/>
  <c r="AR16" i="20" l="1"/>
  <c r="AS16" i="20" s="1"/>
  <c r="AU16" i="20"/>
  <c r="AV16" i="20" s="1"/>
  <c r="AM16" i="20"/>
  <c r="Y17" i="20"/>
  <c r="Z17" i="20" s="1"/>
  <c r="AL17" i="20" s="1"/>
  <c r="O18" i="20"/>
  <c r="P18" i="20" s="1"/>
  <c r="AY35" i="20"/>
  <c r="AW35" i="20"/>
  <c r="AO35" i="20"/>
  <c r="AP35" i="20" s="1"/>
  <c r="M36" i="20"/>
  <c r="AA17" i="20" l="1"/>
  <c r="AW36" i="20"/>
  <c r="AY36" i="20"/>
  <c r="M37" i="20"/>
  <c r="AO36" i="20"/>
  <c r="AP36" i="20" s="1"/>
  <c r="Q18" i="20"/>
  <c r="X18" i="20"/>
  <c r="AX16" i="20"/>
  <c r="AM17" i="20"/>
  <c r="AU17" i="20"/>
  <c r="AV17" i="20" s="1"/>
  <c r="AR17" i="20"/>
  <c r="AS17" i="20" s="1"/>
  <c r="BA16" i="20" l="1"/>
  <c r="BB16" i="20"/>
  <c r="AX17" i="20"/>
  <c r="Y18" i="20"/>
  <c r="Z18" i="20" s="1"/>
  <c r="O19" i="20"/>
  <c r="P19" i="20" s="1"/>
  <c r="M38" i="20"/>
  <c r="AY37" i="20"/>
  <c r="AW37" i="20"/>
  <c r="AO37" i="20"/>
  <c r="AP37" i="20" s="1"/>
  <c r="X19" i="20" l="1"/>
  <c r="Q19" i="20"/>
  <c r="AO38" i="20"/>
  <c r="AP38" i="20" s="1"/>
  <c r="M39" i="20"/>
  <c r="AY38" i="20"/>
  <c r="AW38" i="20"/>
  <c r="AL18" i="20"/>
  <c r="AA18" i="20"/>
  <c r="BA17" i="20"/>
  <c r="BB17" i="20"/>
  <c r="AR18" i="20" l="1"/>
  <c r="AS18" i="20" s="1"/>
  <c r="AU18" i="20"/>
  <c r="AV18" i="20" s="1"/>
  <c r="AM18" i="20"/>
  <c r="M40" i="20"/>
  <c r="AY39" i="20"/>
  <c r="AW39" i="20"/>
  <c r="AO39" i="20"/>
  <c r="AP39" i="20" s="1"/>
  <c r="Y19" i="20"/>
  <c r="Z19" i="20" s="1"/>
  <c r="AL19" i="20" s="1"/>
  <c r="O20" i="20"/>
  <c r="P20" i="20" s="1"/>
  <c r="Q20" i="20" l="1"/>
  <c r="X20" i="20"/>
  <c r="AX18" i="20"/>
  <c r="AM19" i="20"/>
  <c r="AU19" i="20"/>
  <c r="AV19" i="20" s="1"/>
  <c r="AR19" i="20"/>
  <c r="AS19" i="20" s="1"/>
  <c r="M41" i="20"/>
  <c r="AO40" i="20"/>
  <c r="AP40" i="20" s="1"/>
  <c r="AY40" i="20"/>
  <c r="AW40" i="20"/>
  <c r="AA19" i="20"/>
  <c r="BB18" i="20" l="1"/>
  <c r="BA18" i="20"/>
  <c r="M43" i="20"/>
  <c r="AW41" i="20"/>
  <c r="AO41" i="20"/>
  <c r="AP41" i="20" s="1"/>
  <c r="AY41" i="20"/>
  <c r="M42" i="20"/>
  <c r="AX19" i="20"/>
  <c r="Y20" i="20"/>
  <c r="Z20" i="20" s="1"/>
  <c r="AL20" i="20" s="1"/>
  <c r="O21" i="20"/>
  <c r="P21" i="20" s="1"/>
  <c r="AR20" i="20" l="1"/>
  <c r="AS20" i="20" s="1"/>
  <c r="AU20" i="20"/>
  <c r="AV20" i="20" s="1"/>
  <c r="AY42" i="20"/>
  <c r="AO42" i="20"/>
  <c r="AP42" i="20" s="1"/>
  <c r="AW42" i="20"/>
  <c r="M44" i="20"/>
  <c r="X21" i="20"/>
  <c r="Q21" i="20"/>
  <c r="AM20" i="20"/>
  <c r="BB19" i="20"/>
  <c r="BA19" i="20"/>
  <c r="AY43" i="20"/>
  <c r="AW43" i="20"/>
  <c r="AO43" i="20"/>
  <c r="AA20" i="20"/>
  <c r="AP43" i="20" l="1"/>
  <c r="AX20" i="20"/>
  <c r="AW44" i="20"/>
  <c r="AY44" i="20"/>
  <c r="AO44" i="20"/>
  <c r="AP44" i="20" s="1"/>
  <c r="M45" i="20"/>
  <c r="Y21" i="20"/>
  <c r="Z21" i="20" s="1"/>
  <c r="AL21" i="20" s="1"/>
  <c r="O22" i="20"/>
  <c r="P22" i="20" s="1"/>
  <c r="AU21" i="20" l="1"/>
  <c r="AV21" i="20" s="1"/>
  <c r="AR21" i="20"/>
  <c r="AS21" i="20" s="1"/>
  <c r="Q22" i="20"/>
  <c r="X22" i="20"/>
  <c r="M46" i="20"/>
  <c r="AY45" i="20"/>
  <c r="AW45" i="20"/>
  <c r="AO45" i="20"/>
  <c r="AP45" i="20" s="1"/>
  <c r="BB20" i="20"/>
  <c r="BA20" i="20"/>
  <c r="AM21" i="20"/>
  <c r="AA21" i="20"/>
  <c r="AX21" i="20" l="1"/>
  <c r="AO46" i="20"/>
  <c r="AP46" i="20" s="1"/>
  <c r="M47" i="20"/>
  <c r="AY46" i="20"/>
  <c r="AW46" i="20"/>
  <c r="Y22" i="20"/>
  <c r="Z22" i="20" s="1"/>
  <c r="AL22" i="20" s="1"/>
  <c r="O23" i="20"/>
  <c r="P23" i="20" s="1"/>
  <c r="X23" i="20" l="1"/>
  <c r="Q23" i="20"/>
  <c r="AO47" i="20"/>
  <c r="AP47" i="20" s="1"/>
  <c r="M49" i="20"/>
  <c r="AY47" i="20"/>
  <c r="AW47" i="20"/>
  <c r="M48" i="20"/>
  <c r="AR22" i="20"/>
  <c r="AS22" i="20" s="1"/>
  <c r="AU22" i="20"/>
  <c r="AV22" i="20" s="1"/>
  <c r="BB21" i="20"/>
  <c r="BA21" i="20"/>
  <c r="AM22" i="20"/>
  <c r="AA22" i="20"/>
  <c r="AX22" i="20" l="1"/>
  <c r="M50" i="20"/>
  <c r="AW48" i="20"/>
  <c r="AY48" i="20"/>
  <c r="AO48" i="20"/>
  <c r="AP48" i="20" s="1"/>
  <c r="AY49" i="20"/>
  <c r="M51" i="20"/>
  <c r="AW49" i="20"/>
  <c r="M52" i="20"/>
  <c r="AO49" i="20"/>
  <c r="Y23" i="20"/>
  <c r="Z23" i="20" s="1"/>
  <c r="AL23" i="20" s="1"/>
  <c r="O24" i="20"/>
  <c r="P24" i="20" s="1"/>
  <c r="AP49" i="20" l="1"/>
  <c r="AU23" i="20"/>
  <c r="AV23" i="20" s="1"/>
  <c r="AR23" i="20"/>
  <c r="AS23" i="20" s="1"/>
  <c r="AY51" i="20"/>
  <c r="AW51" i="20"/>
  <c r="AO51" i="20"/>
  <c r="AW52" i="20"/>
  <c r="AY52" i="20"/>
  <c r="AO52" i="20"/>
  <c r="AY50" i="20"/>
  <c r="AW50" i="20"/>
  <c r="AO50" i="20"/>
  <c r="AP50" i="20" s="1"/>
  <c r="AP51" i="20" s="1"/>
  <c r="AP52" i="20" s="1"/>
  <c r="M53" i="20"/>
  <c r="AM23" i="20"/>
  <c r="BA22" i="20"/>
  <c r="BB22" i="20"/>
  <c r="AA23" i="20"/>
  <c r="X24" i="20"/>
  <c r="Q24" i="20"/>
  <c r="AX23" i="20" l="1"/>
  <c r="Y24" i="20"/>
  <c r="Z24" i="20" s="1"/>
  <c r="AL24" i="20" s="1"/>
  <c r="O25" i="20"/>
  <c r="P25" i="20" s="1"/>
  <c r="AO53" i="20"/>
  <c r="AP53" i="20" s="1"/>
  <c r="AP54" i="20" s="1"/>
  <c r="AY53" i="20"/>
  <c r="AW53" i="20"/>
  <c r="AA24" i="20"/>
  <c r="X25" i="20" l="1"/>
  <c r="Q25" i="20"/>
  <c r="AR24" i="20"/>
  <c r="AS24" i="20" s="1"/>
  <c r="AU24" i="20"/>
  <c r="AV24" i="20" s="1"/>
  <c r="AM24" i="20"/>
  <c r="BB23" i="20"/>
  <c r="BA23" i="20"/>
  <c r="AX24" i="20" l="1"/>
  <c r="Y25" i="20"/>
  <c r="Z25" i="20" s="1"/>
  <c r="O26" i="20"/>
  <c r="P26" i="20" s="1"/>
  <c r="X26" i="20" l="1"/>
  <c r="Q26" i="20"/>
  <c r="AL25" i="20"/>
  <c r="AA25" i="20"/>
  <c r="BA24" i="20"/>
  <c r="BB24" i="20"/>
  <c r="AU25" i="20" l="1"/>
  <c r="AV25" i="20" s="1"/>
  <c r="AR25" i="20"/>
  <c r="AS25" i="20" s="1"/>
  <c r="AM25" i="20"/>
  <c r="Y26" i="20"/>
  <c r="Z26" i="20" s="1"/>
  <c r="AL26" i="20" s="1"/>
  <c r="O27" i="20"/>
  <c r="P27" i="20" s="1"/>
  <c r="Q27" i="20" l="1"/>
  <c r="X27" i="20"/>
  <c r="AM26" i="20"/>
  <c r="AX25" i="20"/>
  <c r="AR26" i="20"/>
  <c r="AS26" i="20" s="1"/>
  <c r="AU26" i="20"/>
  <c r="AV26" i="20" s="1"/>
  <c r="AA26" i="20"/>
  <c r="BB25" i="20" l="1"/>
  <c r="BA25" i="20"/>
  <c r="AX26" i="20"/>
  <c r="Y27" i="20"/>
  <c r="Z27" i="20" s="1"/>
  <c r="AL27" i="20" s="1"/>
  <c r="O28" i="20"/>
  <c r="P28" i="20" s="1"/>
  <c r="AU27" i="20" l="1"/>
  <c r="AV27" i="20" s="1"/>
  <c r="AR27" i="20"/>
  <c r="AS27" i="20" s="1"/>
  <c r="AM27" i="20"/>
  <c r="AA27" i="20"/>
  <c r="X28" i="20"/>
  <c r="Q28" i="20"/>
  <c r="BB26" i="20"/>
  <c r="BA26" i="20"/>
  <c r="AX27" i="20" l="1"/>
  <c r="Y28" i="20"/>
  <c r="Z28" i="20" s="1"/>
  <c r="AL28" i="20" s="1"/>
  <c r="O29" i="20"/>
  <c r="P29" i="20" s="1"/>
  <c r="AA28" i="20" l="1"/>
  <c r="Q29" i="20"/>
  <c r="X29" i="20"/>
  <c r="AU28" i="20"/>
  <c r="AV28" i="20" s="1"/>
  <c r="AR28" i="20"/>
  <c r="AS28" i="20" s="1"/>
  <c r="AM28" i="20"/>
  <c r="BA27" i="20"/>
  <c r="BB27" i="20"/>
  <c r="AX28" i="20" l="1"/>
  <c r="Y29" i="20"/>
  <c r="Z29" i="20" s="1"/>
  <c r="O30" i="20"/>
  <c r="P30" i="20" s="1"/>
  <c r="Q30" i="20" l="1"/>
  <c r="X30" i="20"/>
  <c r="AL29" i="20"/>
  <c r="AA29" i="20"/>
  <c r="BA28" i="20"/>
  <c r="BB28" i="20"/>
  <c r="AU29" i="20" l="1"/>
  <c r="AV29" i="20" s="1"/>
  <c r="AR29" i="20"/>
  <c r="AS29" i="20" s="1"/>
  <c r="AM29" i="20"/>
  <c r="Y30" i="20"/>
  <c r="Z30" i="20" s="1"/>
  <c r="AL30" i="20" s="1"/>
  <c r="O31" i="20"/>
  <c r="P31" i="20" s="1"/>
  <c r="Q31" i="20" l="1"/>
  <c r="X31" i="20"/>
  <c r="AX29" i="20"/>
  <c r="AM30" i="20"/>
  <c r="AR30" i="20"/>
  <c r="AS30" i="20" s="1"/>
  <c r="AU30" i="20"/>
  <c r="AV30" i="20" s="1"/>
  <c r="AA30" i="20"/>
  <c r="AX30" i="20" l="1"/>
  <c r="BB29" i="20"/>
  <c r="BA29" i="20"/>
  <c r="Y31" i="20"/>
  <c r="Z31" i="20" s="1"/>
  <c r="AL31" i="20" s="1"/>
  <c r="O32" i="20"/>
  <c r="P32" i="20" s="1"/>
  <c r="Q32" i="20" l="1"/>
  <c r="X32" i="20"/>
  <c r="AR31" i="20"/>
  <c r="AS31" i="20" s="1"/>
  <c r="AU31" i="20"/>
  <c r="AV31" i="20" s="1"/>
  <c r="AM31" i="20"/>
  <c r="BA30" i="20"/>
  <c r="BB30" i="20"/>
  <c r="AA31" i="20"/>
  <c r="AX31" i="20" l="1"/>
  <c r="O33" i="20"/>
  <c r="P33" i="20" s="1"/>
  <c r="Y32" i="20"/>
  <c r="Z32" i="20" s="1"/>
  <c r="AL32" i="20" s="1"/>
  <c r="Q33" i="20" l="1"/>
  <c r="X33" i="20"/>
  <c r="AU32" i="20"/>
  <c r="AV32" i="20" s="1"/>
  <c r="AR32" i="20"/>
  <c r="AS32" i="20" s="1"/>
  <c r="AM32" i="20"/>
  <c r="BB31" i="20"/>
  <c r="BA31" i="20"/>
  <c r="AA32" i="20"/>
  <c r="AX32" i="20" l="1"/>
  <c r="Y33" i="20"/>
  <c r="Z33" i="20" s="1"/>
  <c r="AL33" i="20" s="1"/>
  <c r="O34" i="20"/>
  <c r="P34" i="20" s="1"/>
  <c r="X34" i="20" l="1"/>
  <c r="Q34" i="20"/>
  <c r="AU33" i="20"/>
  <c r="AV33" i="20" s="1"/>
  <c r="AR33" i="20"/>
  <c r="AS33" i="20" s="1"/>
  <c r="BB32" i="20"/>
  <c r="BA32" i="20"/>
  <c r="AM33" i="20"/>
  <c r="AA33" i="20"/>
  <c r="AX33" i="20" l="1"/>
  <c r="Y34" i="20"/>
  <c r="Z34" i="20" s="1"/>
  <c r="AL34" i="20" s="1"/>
  <c r="O35" i="20"/>
  <c r="P35" i="20" s="1"/>
  <c r="X35" i="20" l="1"/>
  <c r="Q35" i="20"/>
  <c r="AR34" i="20"/>
  <c r="AS34" i="20" s="1"/>
  <c r="AU34" i="20"/>
  <c r="AV34" i="20" s="1"/>
  <c r="BB33" i="20"/>
  <c r="BA33" i="20"/>
  <c r="AM34" i="20"/>
  <c r="AA34" i="20"/>
  <c r="AX34" i="20" l="1"/>
  <c r="Y35" i="20"/>
  <c r="Z35" i="20" s="1"/>
  <c r="AL35" i="20" s="1"/>
  <c r="O36" i="20"/>
  <c r="P36" i="20" s="1"/>
  <c r="X36" i="20" l="1"/>
  <c r="Q36" i="20"/>
  <c r="AU35" i="20"/>
  <c r="AV35" i="20" s="1"/>
  <c r="AR35" i="20"/>
  <c r="AS35" i="20" s="1"/>
  <c r="AM35" i="20"/>
  <c r="BB34" i="20"/>
  <c r="BA34" i="20"/>
  <c r="AA35" i="20"/>
  <c r="AX35" i="20" l="1"/>
  <c r="Y36" i="20"/>
  <c r="Z36" i="20" s="1"/>
  <c r="AL36" i="20" s="1"/>
  <c r="O37" i="20"/>
  <c r="P37" i="20" s="1"/>
  <c r="Q37" i="20" l="1"/>
  <c r="X37" i="20"/>
  <c r="AU36" i="20"/>
  <c r="AV36" i="20" s="1"/>
  <c r="AR36" i="20"/>
  <c r="AS36" i="20" s="1"/>
  <c r="AM36" i="20"/>
  <c r="BA35" i="20"/>
  <c r="BB35" i="20"/>
  <c r="AA36" i="20"/>
  <c r="AX36" i="20" l="1"/>
  <c r="Y37" i="20"/>
  <c r="Z37" i="20" s="1"/>
  <c r="AL37" i="20" s="1"/>
  <c r="O38" i="20"/>
  <c r="P38" i="20" s="1"/>
  <c r="X38" i="20" l="1"/>
  <c r="Q38" i="20"/>
  <c r="AU37" i="20"/>
  <c r="AV37" i="20" s="1"/>
  <c r="AR37" i="20"/>
  <c r="AS37" i="20" s="1"/>
  <c r="BB36" i="20"/>
  <c r="BA36" i="20"/>
  <c r="AM37" i="20"/>
  <c r="AA37" i="20"/>
  <c r="AX37" i="20" l="1"/>
  <c r="Y38" i="20"/>
  <c r="Z38" i="20" s="1"/>
  <c r="AL38" i="20" s="1"/>
  <c r="O39" i="20"/>
  <c r="P39" i="20" s="1"/>
  <c r="Q39" i="20" l="1"/>
  <c r="X39" i="20"/>
  <c r="AU38" i="20"/>
  <c r="AV38" i="20" s="1"/>
  <c r="AR38" i="20"/>
  <c r="AS38" i="20" s="1"/>
  <c r="BA37" i="20"/>
  <c r="BB37" i="20"/>
  <c r="AM38" i="20"/>
  <c r="AA38" i="20"/>
  <c r="AX38" i="20" l="1"/>
  <c r="Y39" i="20"/>
  <c r="Z39" i="20" s="1"/>
  <c r="AL39" i="20" s="1"/>
  <c r="O40" i="20"/>
  <c r="P40" i="20" s="1"/>
  <c r="AR39" i="20" l="1"/>
  <c r="AS39" i="20" s="1"/>
  <c r="AU39" i="20"/>
  <c r="AV39" i="20" s="1"/>
  <c r="X40" i="20"/>
  <c r="Q40" i="20"/>
  <c r="BA38" i="20"/>
  <c r="BB38" i="20"/>
  <c r="AM39" i="20"/>
  <c r="AA39" i="20"/>
  <c r="Y40" i="20" l="1"/>
  <c r="Z40" i="20" s="1"/>
  <c r="AL40" i="20" s="1"/>
  <c r="AM40" i="20" s="1"/>
  <c r="O41" i="20"/>
  <c r="P41" i="20" s="1"/>
  <c r="AX39" i="20"/>
  <c r="AX40" i="20" l="1"/>
  <c r="BB39" i="20"/>
  <c r="BA39" i="20"/>
  <c r="X41" i="20"/>
  <c r="Q41" i="20"/>
  <c r="AU40" i="20"/>
  <c r="AV40" i="20" s="1"/>
  <c r="AR40" i="20"/>
  <c r="AS40" i="20" s="1"/>
  <c r="AA40" i="20"/>
  <c r="Y41" i="20" l="1"/>
  <c r="Z41" i="20" s="1"/>
  <c r="AL41" i="20" s="1"/>
  <c r="O42" i="20"/>
  <c r="P42" i="20" s="1"/>
  <c r="BB40" i="20"/>
  <c r="BA40" i="20"/>
  <c r="X42" i="20" l="1"/>
  <c r="Q42" i="20"/>
  <c r="AR41" i="20"/>
  <c r="AS41" i="20" s="1"/>
  <c r="AU41" i="20"/>
  <c r="AV41" i="20" s="1"/>
  <c r="AM41" i="20"/>
  <c r="AA41" i="20"/>
  <c r="AX41" i="20" l="1"/>
  <c r="Y42" i="20"/>
  <c r="Z42" i="20" s="1"/>
  <c r="AL42" i="20" s="1"/>
  <c r="O43" i="20"/>
  <c r="P43" i="20" s="1"/>
  <c r="X43" i="20" l="1"/>
  <c r="Q43" i="20"/>
  <c r="AR42" i="20"/>
  <c r="AS42" i="20" s="1"/>
  <c r="AU42" i="20"/>
  <c r="AV42" i="20" s="1"/>
  <c r="AM42" i="20"/>
  <c r="BB41" i="20"/>
  <c r="BA41" i="20"/>
  <c r="AA42" i="20"/>
  <c r="AX42" i="20" l="1"/>
  <c r="Y43" i="20"/>
  <c r="Z43" i="20" s="1"/>
  <c r="AL43" i="20" s="1"/>
  <c r="O44" i="20"/>
  <c r="P44" i="20" s="1"/>
  <c r="X44" i="20" l="1"/>
  <c r="Q44" i="20"/>
  <c r="AU43" i="20"/>
  <c r="AV43" i="20" s="1"/>
  <c r="AR43" i="20"/>
  <c r="AS43" i="20" s="1"/>
  <c r="AM43" i="20"/>
  <c r="BB42" i="20"/>
  <c r="BA42" i="20"/>
  <c r="AA43" i="20"/>
  <c r="AX43" i="20" l="1"/>
  <c r="Y44" i="20"/>
  <c r="Z44" i="20" s="1"/>
  <c r="AL44" i="20" s="1"/>
  <c r="O45" i="20"/>
  <c r="P45" i="20" s="1"/>
  <c r="Q45" i="20" l="1"/>
  <c r="X45" i="20"/>
  <c r="AU44" i="20"/>
  <c r="AV44" i="20" s="1"/>
  <c r="AR44" i="20"/>
  <c r="AS44" i="20" s="1"/>
  <c r="AM44" i="20"/>
  <c r="BB43" i="20"/>
  <c r="BA43" i="20"/>
  <c r="AA44" i="20"/>
  <c r="AX44" i="20" l="1"/>
  <c r="Y45" i="20"/>
  <c r="Z45" i="20" s="1"/>
  <c r="AL45" i="20" s="1"/>
  <c r="O46" i="20"/>
  <c r="P46" i="20" s="1"/>
  <c r="Q46" i="20" l="1"/>
  <c r="X46" i="20"/>
  <c r="AU45" i="20"/>
  <c r="AV45" i="20" s="1"/>
  <c r="AR45" i="20"/>
  <c r="AS45" i="20" s="1"/>
  <c r="BB44" i="20"/>
  <c r="BA44" i="20"/>
  <c r="AM45" i="20"/>
  <c r="AA45" i="20"/>
  <c r="AX45" i="20" l="1"/>
  <c r="Y46" i="20"/>
  <c r="Z46" i="20" s="1"/>
  <c r="AL46" i="20" s="1"/>
  <c r="O47" i="20"/>
  <c r="P47" i="20" s="1"/>
  <c r="X47" i="20" l="1"/>
  <c r="Q47" i="20"/>
  <c r="AU46" i="20"/>
  <c r="AV46" i="20" s="1"/>
  <c r="AR46" i="20"/>
  <c r="AS46" i="20" s="1"/>
  <c r="BB45" i="20"/>
  <c r="BA45" i="20"/>
  <c r="AM46" i="20"/>
  <c r="AA46" i="20"/>
  <c r="AX46" i="20" l="1"/>
  <c r="Y47" i="20"/>
  <c r="Z47" i="20" s="1"/>
  <c r="AL47" i="20" s="1"/>
  <c r="O48" i="20"/>
  <c r="P48" i="20" s="1"/>
  <c r="X48" i="20" l="1"/>
  <c r="Q48" i="20"/>
  <c r="AR47" i="20"/>
  <c r="AS47" i="20" s="1"/>
  <c r="AU47" i="20"/>
  <c r="AV47" i="20" s="1"/>
  <c r="AM47" i="20"/>
  <c r="BA46" i="20"/>
  <c r="BB46" i="20"/>
  <c r="AA47" i="20"/>
  <c r="AX47" i="20" l="1"/>
  <c r="Y48" i="20"/>
  <c r="Z48" i="20" s="1"/>
  <c r="AL48" i="20" s="1"/>
  <c r="O49" i="20"/>
  <c r="P49" i="20" s="1"/>
  <c r="X49" i="20" l="1"/>
  <c r="Q49" i="20"/>
  <c r="AU48" i="20"/>
  <c r="AV48" i="20" s="1"/>
  <c r="AR48" i="20"/>
  <c r="AS48" i="20" s="1"/>
  <c r="AM48" i="20"/>
  <c r="BB47" i="20"/>
  <c r="BA47" i="20"/>
  <c r="AA48" i="20"/>
  <c r="AX48" i="20" l="1"/>
  <c r="Y49" i="20"/>
  <c r="Z49" i="20" s="1"/>
  <c r="AL49" i="20" s="1"/>
  <c r="O50" i="20"/>
  <c r="P50" i="20" s="1"/>
  <c r="X50" i="20" l="1"/>
  <c r="Q50" i="20"/>
  <c r="AU49" i="20"/>
  <c r="AV49" i="20" s="1"/>
  <c r="AR49" i="20"/>
  <c r="AS49" i="20" s="1"/>
  <c r="BB48" i="20"/>
  <c r="BA48" i="20"/>
  <c r="AM49" i="20"/>
  <c r="AA49" i="20"/>
  <c r="AX49" i="20" l="1"/>
  <c r="Y50" i="20"/>
  <c r="Z50" i="20" s="1"/>
  <c r="AL50" i="20" s="1"/>
  <c r="O51" i="20"/>
  <c r="P51" i="20" s="1"/>
  <c r="Q51" i="20" l="1"/>
  <c r="X51" i="20"/>
  <c r="AR50" i="20"/>
  <c r="AS50" i="20" s="1"/>
  <c r="AU50" i="20"/>
  <c r="AV50" i="20" s="1"/>
  <c r="AM50" i="20"/>
  <c r="BB49" i="20"/>
  <c r="BA49" i="20"/>
  <c r="AA50" i="20"/>
  <c r="AX50" i="20" l="1"/>
  <c r="Y51" i="20"/>
  <c r="Z51" i="20" s="1"/>
  <c r="AL51" i="20" s="1"/>
  <c r="O52" i="20"/>
  <c r="P52" i="20" s="1"/>
  <c r="Q52" i="20" l="1"/>
  <c r="X52" i="20"/>
  <c r="AU51" i="20"/>
  <c r="AV51" i="20" s="1"/>
  <c r="AR51" i="20"/>
  <c r="AS51" i="20" s="1"/>
  <c r="AM51" i="20"/>
  <c r="BA50" i="20"/>
  <c r="BB50" i="20"/>
  <c r="AA51" i="20"/>
  <c r="AX51" i="20" l="1"/>
  <c r="Y52" i="20"/>
  <c r="Z52" i="20" s="1"/>
  <c r="AL52" i="20" s="1"/>
  <c r="O53" i="20"/>
  <c r="P53" i="20" s="1"/>
  <c r="Q53" i="20" l="1"/>
  <c r="X53" i="20"/>
  <c r="AU52" i="20"/>
  <c r="AV52" i="20" s="1"/>
  <c r="AR52" i="20"/>
  <c r="AS52" i="20" s="1"/>
  <c r="AA52" i="20"/>
  <c r="AM52" i="20"/>
  <c r="BB51" i="20"/>
  <c r="BA51" i="20"/>
  <c r="AX52" i="20" l="1"/>
  <c r="Y53" i="20"/>
  <c r="Z53" i="20" s="1"/>
  <c r="AL53" i="20" s="1"/>
  <c r="O54" i="20"/>
  <c r="P54" i="20" s="1"/>
  <c r="AU53" i="20" l="1"/>
  <c r="AV53" i="20" s="1"/>
  <c r="AR53" i="20"/>
  <c r="AS53" i="20" s="1"/>
  <c r="X54" i="20"/>
  <c r="Y54" i="20" s="1"/>
  <c r="Q54" i="20"/>
  <c r="AA53" i="20"/>
  <c r="BB52" i="20"/>
  <c r="BA52" i="20"/>
  <c r="AM53" i="20"/>
  <c r="AX53" i="20" l="1"/>
  <c r="Z54" i="20"/>
  <c r="Y55" i="20"/>
  <c r="AL54" i="20" l="1"/>
  <c r="Z55" i="20"/>
  <c r="AA54" i="20"/>
  <c r="BB53" i="20"/>
  <c r="BA53" i="20"/>
  <c r="AR54" i="20" l="1"/>
  <c r="AU54" i="20"/>
  <c r="AL55" i="20"/>
  <c r="AM54" i="20"/>
  <c r="AX54" i="20" s="1"/>
  <c r="BB54" i="20" l="1"/>
  <c r="BA54" i="20"/>
  <c r="AU55" i="20"/>
  <c r="AV54" i="20"/>
  <c r="AR55" i="20"/>
  <c r="AS54" i="2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tc={74277917-27D5-4174-843E-068A13513872}</author>
    <author>tc={AB2239B2-4F2F-4822-86A1-48C0AC8FB86D}</author>
    <author>tc={A6AA39C3-CD75-4C91-B1AE-100B4A7ADC98}</author>
    <author>tc={01146590-1AEA-4E64-8861-16535BA30DE6}</author>
    <author>tc={E19EA085-1A5C-4FC3-B925-661525B63D90}</author>
    <author>tc={B7310141-DD59-4604-9BE1-546685EB58C8}</author>
    <author>tc={626FF2FC-A3AC-42CC-AF2B-3BF78639256E}</author>
    <author>tc={93AEA1A0-B6D9-45EF-91D0-75A49093CDDA}</author>
    <author>tc={65B89D0B-2F92-44D7-933D-05828BFE959A}</author>
    <author>tc={1759DA1D-6716-41F1-BD99-72D0722671D4}</author>
    <author>tc={D6D61386-B309-4F8A-866C-80E33823B299}</author>
    <author>tc={7D8A3887-1AE9-46EC-8513-3370CF94F39D}</author>
    <author>tc={194962E0-389F-4F99-888B-1D04C1289A09}</author>
    <author>tc={E03B3C0D-4918-473A-8E85-A7E94E24E508}</author>
    <author>tc={1392407A-A781-45E4-919D-B6E156C75C22}</author>
    <author>tc={8A9F74DE-C66C-4898-BC9B-ED3CC7740540}</author>
    <author>tc={F3234B69-7F0E-4194-9B9F-36F00F5E830F}</author>
    <author>tc={9C7BA716-C59B-4948-B286-A20A3FDE8F2C}</author>
    <author>tc={CB37BA3E-C138-4CC3-BC6C-A976AFA00C67}</author>
    <author>tc={10369F94-418F-40C3-9CB8-FDEAA6434A80}</author>
    <author>tc={BC33C211-BA54-4C1E-B6F9-8CCBDC6E161A}</author>
    <author>tc={507CC15D-F6D6-4AE2-92F2-C3C348B008AA}</author>
    <author>tc={2BA5E361-C373-484C-8AAB-601CC70DEA0C}</author>
    <author>tc={BB9D0C82-0B74-4768-90D7-6BEB10B210AA}</author>
    <author>tc={56A46377-9014-4ADF-ABE6-127D189A5BE0}</author>
  </authors>
  <commentList>
    <comment ref="A2" authorId="0" shapeId="0" xr:uid="{74277917-27D5-4174-843E-068A13513872}">
      <text>
        <t>[Threaded comment]
Your version of Excel allows you to read this threaded comment; however, any edits to it will get removed if the file is opened in a newer version of Excel. Learn more: https://go.microsoft.com/fwlink/?linkid=870924
Comment:
    Initial Start date of major period, normally one year.</t>
      </text>
    </comment>
    <comment ref="B2" authorId="1" shapeId="0" xr:uid="{AB2239B2-4F2F-4822-86A1-48C0AC8FB86D}">
      <text>
        <t>[Threaded comment]
Your version of Excel allows you to read this threaded comment; however, any edits to it will get removed if the file is opened in a newer version of Excel. Learn more: https://go.microsoft.com/fwlink/?linkid=870924
Comment:
    Balance of all taxable assets for each sub period.</t>
      </text>
    </comment>
    <comment ref="D2" authorId="2" shapeId="0" xr:uid="{A6AA39C3-CD75-4C91-B1AE-100B4A7ADC98}">
      <text>
        <t>[Threaded comment]
Your version of Excel allows you to read this threaded comment; however, any edits to it will get removed if the file is opened in a newer version of Excel. Learn more: https://go.microsoft.com/fwlink/?linkid=870924
Comment:
    Balance of all tax free assets for each sub period.</t>
      </text>
    </comment>
    <comment ref="F2" authorId="3" shapeId="0" xr:uid="{01146590-1AEA-4E64-8861-16535BA30DE6}">
      <text>
        <t>[Threaded comment]
Your version of Excel allows you to read this threaded comment; however, any edits to it will get removed if the file is opened in a newer version of Excel. Learn more: https://go.microsoft.com/fwlink/?linkid=870924
Comment:
    Balance of all tax deferred assets for each sub period.</t>
      </text>
    </comment>
    <comment ref="H2" authorId="4" shapeId="0" xr:uid="{E19EA085-1A5C-4FC3-B925-661525B63D90}">
      <text>
        <t>[Threaded comment]
Your version of Excel allows you to read this threaded comment; however, any edits to it will get removed if the file is opened in a newer version of Excel. Learn more: https://go.microsoft.com/fwlink/?linkid=870924
Comment:
    Balance of all cash assets for each sub period.</t>
      </text>
    </comment>
    <comment ref="M2" authorId="5" shapeId="0" xr:uid="{B7310141-DD59-4604-9BE1-546685EB58C8}">
      <text>
        <t>[Threaded comment]
Your version of Excel allows you to read this threaded comment; however, any edits to it will get removed if the file is opened in a newer version of Excel. Learn more: https://go.microsoft.com/fwlink/?linkid=870924
Comment:
    Number of sub periods to be calculated.</t>
      </text>
    </comment>
    <comment ref="N2" authorId="6" shapeId="0" xr:uid="{626FF2FC-A3AC-42CC-AF2B-3BF78639256E}">
      <text>
        <t>[Threaded comment]
Your version of Excel allows you to read this threaded comment; however, any edits to it will get removed if the file is opened in a newer version of Excel. Learn more: https://go.microsoft.com/fwlink/?linkid=870924
Comment:
    CPI-U for sub period. I pull these numbers from here: https://www.bls.gov/cpi/latest-numbers.htm. I use CPI-U, US CITY AVERAGE, ALL ITEMS NSA.</t>
      </text>
    </comment>
    <comment ref="O2" authorId="7" shapeId="0" xr:uid="{93AEA1A0-B6D9-45EF-91D0-75A49093CDDA}">
      <text>
        <t>[Threaded comment]
Your version of Excel allows you to read this threaded comment; however, any edits to it will get removed if the file is opened in a newer version of Excel. Learn more: https://go.microsoft.com/fwlink/?linkid=870924
Comment:
    Initial withdrawal rate. Using the GK guardrails you may use a higher withdrawal rate as it will correct up or down between the limits you set.</t>
      </text>
    </comment>
    <comment ref="R2" authorId="8" shapeId="0" xr:uid="{65B89D0B-2F92-44D7-933D-05828BFE959A}">
      <text>
        <t>[Threaded comment]
Your version of Excel allows you to read this threaded comment; however, any edits to it will get removed if the file is opened in a newer version of Excel. Learn more: https://go.microsoft.com/fwlink/?linkid=870924
Comment:
    Upper limit guardrail.</t>
      </text>
    </comment>
    <comment ref="T2" authorId="9" shapeId="0" xr:uid="{1759DA1D-6716-41F1-BD99-72D0722671D4}">
      <text>
        <t>[Threaded comment]
Your version of Excel allows you to read this threaded comment; however, any edits to it will get removed if the file is opened in a newer version of Excel. Learn more: https://go.microsoft.com/fwlink/?linkid=870924
Comment:
    Lower limit guardrail.</t>
      </text>
    </comment>
    <comment ref="V2" authorId="10" shapeId="0" xr:uid="{D6D61386-B309-4F8A-866C-80E33823B299}">
      <text>
        <t>[Threaded comment]
Your version of Excel allows you to read this threaded comment; however, any edits to it will get removed if the file is opened in a newer version of Excel. Learn more: https://go.microsoft.com/fwlink/?linkid=870924
Comment:
    GK pay raise if paycheck is below lower limit.</t>
      </text>
    </comment>
    <comment ref="W2" authorId="11" shapeId="0" xr:uid="{7D8A3887-1AE9-46EC-8513-3370CF94F39D}">
      <text>
        <t>[Threaded comment]
Your version of Excel allows you to read this threaded comment; however, any edits to it will get removed if the file is opened in a newer version of Excel. Learn more: https://go.microsoft.com/fwlink/?linkid=870924
Comment:
    GK cut if paycheck is greater than upper limit.</t>
      </text>
    </comment>
    <comment ref="AC2" authorId="12" shapeId="0" xr:uid="{194962E0-389F-4F99-888B-1D04C1289A09}">
      <text>
        <t>[Threaded comment]
Your version of Excel allows you to read this threaded comment; however, any edits to it will get removed if the file is opened in a newer version of Excel. Learn more: https://go.microsoft.com/fwlink/?linkid=870924
Comment:
    This is your annual pension amount divided by number of annual periods considered.</t>
      </text>
    </comment>
    <comment ref="AE2" authorId="13" shapeId="0" xr:uid="{E03B3C0D-4918-473A-8E85-A7E94E24E508}">
      <text>
        <t>[Threaded comment]
Your version of Excel allows you to read this threaded comment; however, any edits to it will get removed if the file is opened in a newer version of Excel. Learn more: https://go.microsoft.com/fwlink/?linkid=870924
Comment:
    This is your annual social security benefit amount divided by number of annual periods considered.</t>
      </text>
    </comment>
    <comment ref="AH2" authorId="14" shapeId="0" xr:uid="{1392407A-A781-45E4-919D-B6E156C75C22}">
      <text>
        <t>[Threaded comment]
Your version of Excel allows you to read this threaded comment; however, any edits to it will get removed if the file is opened in a newer version of Excel. Learn more: https://go.microsoft.com/fwlink/?linkid=870924
Comment:
    This is your ROTH conversion amount for this period.</t>
      </text>
    </comment>
    <comment ref="AJ2" authorId="15" shapeId="0" xr:uid="{8A9F74DE-C66C-4898-BC9B-ED3CC7740540}">
      <text>
        <t>[Threaded comment]
Your version of Excel allows you to read this threaded comment; however, any edits to it will get removed if the file is opened in a newer version of Excel. Learn more: https://go.microsoft.com/fwlink/?linkid=870924
Comment:
    Any other income each period.</t>
      </text>
    </comment>
    <comment ref="AO2" authorId="16" shapeId="0" xr:uid="{F3234B69-7F0E-4194-9B9F-36F00F5E830F}">
      <text>
        <t>[Threaded comment]
Your version of Excel allows you to read this threaded comment; however, any edits to it will get removed if the file is opened in a newer version of Excel. Learn more: https://go.microsoft.com/fwlink/?linkid=870924
Comment:
    Cash Flow minus taxes report in Quicken (Less Federal, State and Local Taxes only)</t>
      </text>
    </comment>
    <comment ref="AQ2" authorId="17" shapeId="0" xr:uid="{9C7BA716-C59B-4948-B286-A20A3FDE8F2C}">
      <text>
        <t>[Threaded comment]
Your version of Excel allows you to read this threaded comment; however, any edits to it will get removed if the file is opened in a newer version of Excel. Learn more: https://go.microsoft.com/fwlink/?linkid=870924
Comment:
    Percent of pay to be reinvested. In my case I reinvest in my taxable as it is hyper tax efficient using Indexed ETFs and Wealthfront's parametric rebalancing and tax loss harvesting.</t>
      </text>
    </comment>
    <comment ref="AT2" authorId="18" shapeId="0" xr:uid="{CB37BA3E-C138-4CC3-BC6C-A976AFA00C67}">
      <text>
        <t>[Threaded comment]
Your version of Excel allows you to read this threaded comment; however, any edits to it will get removed if the file is opened in a newer version of Excel. Learn more: https://go.microsoft.com/fwlink/?linkid=870924
Comment:
    Cash saved to be pulled for spending when markets are performing poorly.</t>
      </text>
    </comment>
    <comment ref="AZ2" authorId="19" shapeId="0" xr:uid="{10369F94-418F-40C3-9CB8-FDEAA6434A80}">
      <text>
        <t>[Threaded comment]
Your version of Excel allows you to read this threaded comment; however, any edits to it will get removed if the file is opened in a newer version of Excel. Learn more: https://go.microsoft.com/fwlink/?linkid=870924
Comment:
    Federal Tax bracket to fill up.</t>
      </text>
    </comment>
    <comment ref="D30" authorId="20" shapeId="0" xr:uid="{BC33C211-BA54-4C1E-B6F9-8CCBDC6E161A}">
      <text>
        <t>[Threaded comment]
Your version of Excel allows you to read this threaded comment; however, any edits to it will get removed if the file is opened in a newer version of Excel. Learn more: https://go.microsoft.com/fwlink/?linkid=870924
Comment:
    $230,701.65 on it’s way from Voya to Wealthfront via Check in snail mail.</t>
      </text>
    </comment>
    <comment ref="AW55" authorId="21" shapeId="0" xr:uid="{507CC15D-F6D6-4AE2-92F2-C3C348B008AA}">
      <text>
        <t>[Threaded comment]
Your version of Excel allows you to read this threaded comment; however, any edits to it will get removed if the file is opened in a newer version of Excel. Learn more: https://go.microsoft.com/fwlink/?linkid=870924
Comment:
    Estimated total tax deductions. I normally use the last years as a starting point.</t>
      </text>
    </comment>
    <comment ref="L58" authorId="22" shapeId="0" xr:uid="{2BA5E361-C373-484C-8AAB-601CC70DEA0C}">
      <text>
        <t>[Threaded comment]
Your version of Excel allows you to read this threaded comment; however, any edits to it will get removed if the file is opened in a newer version of Excel. Learn more: https://go.microsoft.com/fwlink/?linkid=870924
Comment:
    Normalization target.</t>
      </text>
    </comment>
    <comment ref="L60" authorId="23" shapeId="0" xr:uid="{BB9D0C82-0B74-4768-90D7-6BEB10B210AA}">
      <text>
        <t>[Threaded comment]
Your version of Excel allows you to read this threaded comment; however, any edits to it will get removed if the file is opened in a newer version of Excel. Learn more: https://go.microsoft.com/fwlink/?linkid=870924
Comment:
    Copy calculated factor and paste value to apply to all fixed entry amounts.</t>
      </text>
    </comment>
    <comment ref="AC63" authorId="24" shapeId="0" xr:uid="{56A46377-9014-4ADF-ABE6-127D189A5BE0}">
      <text>
        <t>[Threaded comment]
Your version of Excel allows you to read this threaded comment; however, any edits to it will get removed if the file is opened in a newer version of Excel. Learn more: https://go.microsoft.com/fwlink/?linkid=870924
Comment:
    Lump Sum</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tc={B59EE9FA-9D11-4F71-9D78-A54F7D8ED6B6}</author>
    <author>tc={808020E8-D256-4E94-9DE7-63AA3DA3A617}</author>
    <author>tc={B009DBA6-758D-469F-99F1-513FF7F691EF}</author>
    <author>tc={64EBB36E-ED3C-4DE4-AB16-1688D9535D5D}</author>
    <author>tc={BA454CAF-12A5-41C0-B0FA-70F2360974DF}</author>
    <author>tc={A475BFCA-64F6-4DCC-967D-38AF1999D840}</author>
    <author>tc={5B1657DC-CB47-4785-AC4A-6ABB695C3D79}</author>
    <author>tc={2C298279-0385-40F8-9720-B861CF575781}</author>
    <author>tc={DEA1A5F2-5C44-4883-AB7F-F25364C2C86D}</author>
    <author>tc={1577A7ED-0CEF-469B-A92D-859AC4346F34}</author>
    <author>tc={8D3018A2-8A3A-4AB4-9AD5-98D1B8079D72}</author>
    <author>tc={5F812FA9-B034-4517-A0A2-9013DCCF6EA3}</author>
    <author>tc={CFC1558A-BCC8-484D-B299-8F8508808984}</author>
    <author>tc={A19549FE-129B-4807-A87A-F787949BF68B}</author>
    <author>tc={EF52B232-271D-4E6A-9DAD-C247D6BF4FA2}</author>
    <author>tc={7E6B6007-3C35-4E9B-935A-D5050C6A2252}</author>
    <author>tc={3B7BB0BC-2E95-4DFA-BA48-37527F20EF6C}</author>
    <author>tc={06F6ADD1-550C-4C04-B254-B59BF8F698B1}</author>
    <author>tc={58A2E246-17E0-46EB-9F9A-02D9697082E9}</author>
    <author>tc={4D9EC009-ECCD-4A9A-962E-DF8503F1EE66}</author>
    <author>tc={90DA86CC-3FA9-49C6-B774-A3E8C17CE9CE}</author>
    <author>tc={89DB945E-8581-4197-BDB8-F2A0FCF74538}</author>
    <author>tc={1D6E3BBE-87C7-42F1-A472-FE2FBE0F2CFA}</author>
    <author>tc={F1EA02CB-3BF6-4C86-84B2-FE1D07EFFFCD}</author>
    <author>tc={6F0D01A3-8AEA-434C-9582-318784F1C834}</author>
  </authors>
  <commentList>
    <comment ref="A2" authorId="0" shapeId="0" xr:uid="{B59EE9FA-9D11-4F71-9D78-A54F7D8ED6B6}">
      <text>
        <t>[Threaded comment]
Your version of Excel allows you to read this threaded comment; however, any edits to it will get removed if the file is opened in a newer version of Excel. Learn more: https://go.microsoft.com/fwlink/?linkid=870924
Comment:
    Initial Start date of major period, normally one year.</t>
      </text>
    </comment>
    <comment ref="B2" authorId="1" shapeId="0" xr:uid="{808020E8-D256-4E94-9DE7-63AA3DA3A617}">
      <text>
        <t>[Threaded comment]
Your version of Excel allows you to read this threaded comment; however, any edits to it will get removed if the file is opened in a newer version of Excel. Learn more: https://go.microsoft.com/fwlink/?linkid=870924
Comment:
    Balance of all taxable assets for each sub period.</t>
      </text>
    </comment>
    <comment ref="D2" authorId="2" shapeId="0" xr:uid="{B009DBA6-758D-469F-99F1-513FF7F691EF}">
      <text>
        <t>[Threaded comment]
Your version of Excel allows you to read this threaded comment; however, any edits to it will get removed if the file is opened in a newer version of Excel. Learn more: https://go.microsoft.com/fwlink/?linkid=870924
Comment:
    Balance of all tax free assets for each sub period.</t>
      </text>
    </comment>
    <comment ref="F2" authorId="3" shapeId="0" xr:uid="{64EBB36E-ED3C-4DE4-AB16-1688D9535D5D}">
      <text>
        <t>[Threaded comment]
Your version of Excel allows you to read this threaded comment; however, any edits to it will get removed if the file is opened in a newer version of Excel. Learn more: https://go.microsoft.com/fwlink/?linkid=870924
Comment:
    Balance of all tax deferred assets for each sub period.</t>
      </text>
    </comment>
    <comment ref="H2" authorId="4" shapeId="0" xr:uid="{BA454CAF-12A5-41C0-B0FA-70F2360974DF}">
      <text>
        <t>[Threaded comment]
Your version of Excel allows you to read this threaded comment; however, any edits to it will get removed if the file is opened in a newer version of Excel. Learn more: https://go.microsoft.com/fwlink/?linkid=870924
Comment:
    Balance of all cash assets for each sub period.</t>
      </text>
    </comment>
    <comment ref="M2" authorId="5" shapeId="0" xr:uid="{A475BFCA-64F6-4DCC-967D-38AF1999D840}">
      <text>
        <t>[Threaded comment]
Your version of Excel allows you to read this threaded comment; however, any edits to it will get removed if the file is opened in a newer version of Excel. Learn more: https://go.microsoft.com/fwlink/?linkid=870924
Comment:
    Number of sub periods to be calculated.</t>
      </text>
    </comment>
    <comment ref="N2" authorId="6" shapeId="0" xr:uid="{5B1657DC-CB47-4785-AC4A-6ABB695C3D79}">
      <text>
        <t>[Threaded comment]
Your version of Excel allows you to read this threaded comment; however, any edits to it will get removed if the file is opened in a newer version of Excel. Learn more: https://go.microsoft.com/fwlink/?linkid=870924
Comment:
    CPI-U for sub period. I pull these numbers from here: https://www.bls.gov/cpi/latest-numbers.htm. I use CPI-U, US CITY AVERAGE, ALL ITEMS NSA.</t>
      </text>
    </comment>
    <comment ref="O2" authorId="7" shapeId="0" xr:uid="{2C298279-0385-40F8-9720-B861CF575781}">
      <text>
        <t>[Threaded comment]
Your version of Excel allows you to read this threaded comment; however, any edits to it will get removed if the file is opened in a newer version of Excel. Learn more: https://go.microsoft.com/fwlink/?linkid=870924
Comment:
    Initial withdrawal rate. Using the GK guardrails you may use a higher withdrawal rate as it will correct up or down between the limits you set.</t>
      </text>
    </comment>
    <comment ref="R2" authorId="8" shapeId="0" xr:uid="{DEA1A5F2-5C44-4883-AB7F-F25364C2C86D}">
      <text>
        <t>[Threaded comment]
Your version of Excel allows you to read this threaded comment; however, any edits to it will get removed if the file is opened in a newer version of Excel. Learn more: https://go.microsoft.com/fwlink/?linkid=870924
Comment:
    Upper limit guardrail.</t>
      </text>
    </comment>
    <comment ref="T2" authorId="9" shapeId="0" xr:uid="{1577A7ED-0CEF-469B-A92D-859AC4346F34}">
      <text>
        <t>[Threaded comment]
Your version of Excel allows you to read this threaded comment; however, any edits to it will get removed if the file is opened in a newer version of Excel. Learn more: https://go.microsoft.com/fwlink/?linkid=870924
Comment:
    Lower limit guardrail.</t>
      </text>
    </comment>
    <comment ref="V2" authorId="10" shapeId="0" xr:uid="{8D3018A2-8A3A-4AB4-9AD5-98D1B8079D72}">
      <text>
        <t>[Threaded comment]
Your version of Excel allows you to read this threaded comment; however, any edits to it will get removed if the file is opened in a newer version of Excel. Learn more: https://go.microsoft.com/fwlink/?linkid=870924
Comment:
    GK pay raise if paycheck is below lower limit.</t>
      </text>
    </comment>
    <comment ref="W2" authorId="11" shapeId="0" xr:uid="{5F812FA9-B034-4517-A0A2-9013DCCF6EA3}">
      <text>
        <t>[Threaded comment]
Your version of Excel allows you to read this threaded comment; however, any edits to it will get removed if the file is opened in a newer version of Excel. Learn more: https://go.microsoft.com/fwlink/?linkid=870924
Comment:
    GK cut if paycheck is greater than upper limit.</t>
      </text>
    </comment>
    <comment ref="AC2" authorId="12" shapeId="0" xr:uid="{CFC1558A-BCC8-484D-B299-8F8508808984}">
      <text>
        <t>[Threaded comment]
Your version of Excel allows you to read this threaded comment; however, any edits to it will get removed if the file is opened in a newer version of Excel. Learn more: https://go.microsoft.com/fwlink/?linkid=870924
Comment:
    This is your annual pension amount divided by number of annual periods considered.</t>
      </text>
    </comment>
    <comment ref="AE2" authorId="13" shapeId="0" xr:uid="{A19549FE-129B-4807-A87A-F787949BF68B}">
      <text>
        <t>[Threaded comment]
Your version of Excel allows you to read this threaded comment; however, any edits to it will get removed if the file is opened in a newer version of Excel. Learn more: https://go.microsoft.com/fwlink/?linkid=870924
Comment:
    This is your annual social security benefit amount divided by number of annual periods considered.</t>
      </text>
    </comment>
    <comment ref="AH2" authorId="14" shapeId="0" xr:uid="{EF52B232-271D-4E6A-9DAD-C247D6BF4FA2}">
      <text>
        <t>[Threaded comment]
Your version of Excel allows you to read this threaded comment; however, any edits to it will get removed if the file is opened in a newer version of Excel. Learn more: https://go.microsoft.com/fwlink/?linkid=870924
Comment:
    This is your ROTH conversion amount for this period.</t>
      </text>
    </comment>
    <comment ref="AJ2" authorId="15" shapeId="0" xr:uid="{7E6B6007-3C35-4E9B-935A-D5050C6A2252}">
      <text>
        <t>[Threaded comment]
Your version of Excel allows you to read this threaded comment; however, any edits to it will get removed if the file is opened in a newer version of Excel. Learn more: https://go.microsoft.com/fwlink/?linkid=870924
Comment:
    Any other income each period.</t>
      </text>
    </comment>
    <comment ref="AO2" authorId="16" shapeId="0" xr:uid="{3B7BB0BC-2E95-4DFA-BA48-37527F20EF6C}">
      <text>
        <t>[Threaded comment]
Your version of Excel allows you to read this threaded comment; however, any edits to it will get removed if the file is opened in a newer version of Excel. Learn more: https://go.microsoft.com/fwlink/?linkid=870924
Comment:
    Cash Flow minus taxes report in Quicken (Less Federal, State and Local Taxes only)</t>
      </text>
    </comment>
    <comment ref="AQ2" authorId="17" shapeId="0" xr:uid="{06F6ADD1-550C-4C04-B254-B59BF8F698B1}">
      <text>
        <t>[Threaded comment]
Your version of Excel allows you to read this threaded comment; however, any edits to it will get removed if the file is opened in a newer version of Excel. Learn more: https://go.microsoft.com/fwlink/?linkid=870924
Comment:
    Percent of pay to be reinvested. In my case I reinvest in my taxable as it is hyper tax efficient using Indexed ETFs and Wealthfront's parametric rebalancing and tax loss harvesting.</t>
      </text>
    </comment>
    <comment ref="AT2" authorId="18" shapeId="0" xr:uid="{58A2E246-17E0-46EB-9F9A-02D9697082E9}">
      <text>
        <t>[Threaded comment]
Your version of Excel allows you to read this threaded comment; however, any edits to it will get removed if the file is opened in a newer version of Excel. Learn more: https://go.microsoft.com/fwlink/?linkid=870924
Comment:
    Cash saved to be pulled for spending when markets are performing poorly.</t>
      </text>
    </comment>
    <comment ref="AZ2" authorId="19" shapeId="0" xr:uid="{4D9EC009-ECCD-4A9A-962E-DF8503F1EE66}">
      <text>
        <t>[Threaded comment]
Your version of Excel allows you to read this threaded comment; however, any edits to it will get removed if the file is opened in a newer version of Excel. Learn more: https://go.microsoft.com/fwlink/?linkid=870924
Comment:
    Federal Tax bracket to fill up.</t>
      </text>
    </comment>
    <comment ref="D30" authorId="20" shapeId="0" xr:uid="{90DA86CC-3FA9-49C6-B774-A3E8C17CE9CE}">
      <text>
        <t>[Threaded comment]
Your version of Excel allows you to read this threaded comment; however, any edits to it will get removed if the file is opened in a newer version of Excel. Learn more: https://go.microsoft.com/fwlink/?linkid=870924
Comment:
    $230,701.65 on it’s way from Voya to Wealthfront via Check in snail mail.</t>
      </text>
    </comment>
    <comment ref="AW55" authorId="21" shapeId="0" xr:uid="{89DB945E-8581-4197-BDB8-F2A0FCF74538}">
      <text>
        <t>[Threaded comment]
Your version of Excel allows you to read this threaded comment; however, any edits to it will get removed if the file is opened in a newer version of Excel. Learn more: https://go.microsoft.com/fwlink/?linkid=870924
Comment:
    Estimated total tax deductions. I normally use the last years as a starting point.</t>
      </text>
    </comment>
    <comment ref="L58" authorId="22" shapeId="0" xr:uid="{1D6E3BBE-87C7-42F1-A472-FE2FBE0F2CFA}">
      <text>
        <t>[Threaded comment]
Your version of Excel allows you to read this threaded comment; however, any edits to it will get removed if the file is opened in a newer version of Excel. Learn more: https://go.microsoft.com/fwlink/?linkid=870924
Comment:
    Normalization target.</t>
      </text>
    </comment>
    <comment ref="L60" authorId="23" shapeId="0" xr:uid="{F1EA02CB-3BF6-4C86-84B2-FE1D07EFFFCD}">
      <text>
        <t>[Threaded comment]
Your version of Excel allows you to read this threaded comment; however, any edits to it will get removed if the file is opened in a newer version of Excel. Learn more: https://go.microsoft.com/fwlink/?linkid=870924
Comment:
    Copy calculated factor and paste value to apply to all fixed entry amounts.</t>
      </text>
    </comment>
    <comment ref="AC63" authorId="24" shapeId="0" xr:uid="{6F0D01A3-8AEA-434C-9582-318784F1C834}">
      <text>
        <t>[Threaded comment]
Your version of Excel allows you to read this threaded comment; however, any edits to it will get removed if the file is opened in a newer version of Excel. Learn more: https://go.microsoft.com/fwlink/?linkid=870924
Comment:
    Lump Sum</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tc={48CBF688-79B7-4219-8A79-0C32EAFF4A35}</author>
  </authors>
  <commentList>
    <comment ref="B12" authorId="0" shapeId="0" xr:uid="{48CBF688-79B7-4219-8A79-0C32EAFF4A35}">
      <text>
        <t>[Threaded comment]
Your version of Excel allows you to read this threaded comment; however, any edits to it will get removed if the file is opened in a newer version of Excel. Learn more: https://go.microsoft.com/fwlink/?linkid=870924
Comment:
    This percentage will be flexible as I plan to invest all residual income in my taxable account.</t>
      </text>
    </comment>
  </commentList>
</comments>
</file>

<file path=xl/sharedStrings.xml><?xml version="1.0" encoding="utf-8"?>
<sst xmlns="http://schemas.openxmlformats.org/spreadsheetml/2006/main" count="268" uniqueCount="154">
  <si>
    <t>Cash</t>
  </si>
  <si>
    <t>Taxable</t>
  </si>
  <si>
    <t>Pension</t>
  </si>
  <si>
    <t>Tax Deferred</t>
  </si>
  <si>
    <t>Tax Free</t>
  </si>
  <si>
    <t>Date</t>
  </si>
  <si>
    <t>Tax Target</t>
  </si>
  <si>
    <t>Invest</t>
  </si>
  <si>
    <t>Social Security</t>
  </si>
  <si>
    <t>Total Assets</t>
  </si>
  <si>
    <t>Paycheck</t>
  </si>
  <si>
    <t>Delta</t>
  </si>
  <si>
    <t>Roth Conversion</t>
  </si>
  <si>
    <t>Totals</t>
  </si>
  <si>
    <t>Tax Rate</t>
  </si>
  <si>
    <t>Inflated Withdrawal</t>
  </si>
  <si>
    <t>Guyton Klinger  Upper</t>
  </si>
  <si>
    <t>Guyton Klinger Lower</t>
  </si>
  <si>
    <t>Guyton Klinger Adjustment</t>
  </si>
  <si>
    <t>Guyton Klinger  Lower</t>
  </si>
  <si>
    <t>Married Filing Joint Tax</t>
  </si>
  <si>
    <t>Tax MFJ</t>
  </si>
  <si>
    <t>Tax SF</t>
  </si>
  <si>
    <t>CPI-U</t>
  </si>
  <si>
    <t>Pension Total</t>
  </si>
  <si>
    <t>Invest Total</t>
  </si>
  <si>
    <t>Paycheck Total</t>
  </si>
  <si>
    <t>Withdrawal Delta</t>
  </si>
  <si>
    <t>Guyton Klinger  Pay Cut</t>
  </si>
  <si>
    <t>Guyton Klinger  Pay Raise</t>
  </si>
  <si>
    <t>Annual Periods</t>
  </si>
  <si>
    <t>Annual Periods Adjustment</t>
  </si>
  <si>
    <t>Income Total</t>
  </si>
  <si>
    <t>Taxable Income Total</t>
  </si>
  <si>
    <t>Social Security Total</t>
  </si>
  <si>
    <t>Roth Conversion Total</t>
  </si>
  <si>
    <t>Other Income</t>
  </si>
  <si>
    <t>Estimated Deductions</t>
  </si>
  <si>
    <t>Cash Saved</t>
  </si>
  <si>
    <t>Cash Saved  Total</t>
  </si>
  <si>
    <t>Use:</t>
  </si>
  <si>
    <t>Developed by: Cave Arnold</t>
  </si>
  <si>
    <t>Date: 12/15/2022</t>
  </si>
  <si>
    <t>! Review the backtesting sheets in blue for 2017-2022, then use the empty form in green for 2023.</t>
  </si>
  <si>
    <t>! User input fields are highlighted and commented.</t>
  </si>
  <si>
    <t>! All Federal tax brackets are in place and accurate.</t>
  </si>
  <si>
    <t>! The final account balances are carried forward from the year prior.</t>
  </si>
  <si>
    <t>! The final Guyton Klinger adjusted withdrawal percentage is caried forward as the starting withdrawal percentage.</t>
  </si>
  <si>
    <t>Backtesting:</t>
  </si>
  <si>
    <t>! A paycheck amount is calculated for each sub period using the Guyton Klinger guardrails withdrawal approach.</t>
  </si>
  <si>
    <t>! In the backtesting paycheck withdrawals were from tax deferred and reinvestments made to taxable. This aligns with my personal strategy, yours may differ.</t>
  </si>
  <si>
    <t>! This tracks both married filing jointly and single filing for the bracket to be filled and highlights in red once bracket is filled for either.</t>
  </si>
  <si>
    <t>! Enter your actual balances each period.</t>
  </si>
  <si>
    <t xml:space="preserve">! </t>
  </si>
  <si>
    <t>Version: 1.0 Beta</t>
  </si>
  <si>
    <t>Planned Changes:</t>
  </si>
  <si>
    <t>! Update the Federal Tax table values with the new bracket limits.</t>
  </si>
  <si>
    <t>! Decide the percent you will spend and save as cash or reinvest in taxable. If you are able to invest in Roth because of earned income that would be where I would reinvest.</t>
  </si>
  <si>
    <t>Income</t>
  </si>
  <si>
    <t>! I will add year over year statistics and charts. This is why I kept most all the calculation variables as distinct columns.</t>
  </si>
  <si>
    <t>! The calculated withdrawal is just a suggestion, feel free to modify the Paycheck to your expense needs. Each periods calculation is stateless, there is no direct feedback/feedforward as in the backtesting.</t>
  </si>
  <si>
    <t>! At start of each year copy the Orange template form and update the year in the tab name and date column. 2023 in green is already setup.</t>
  </si>
  <si>
    <t>Contact: CaveArnold@gmail.com</t>
  </si>
  <si>
    <t>I created this spreadsheet for automating and tracking withdrawals using the Guyton-Klinger guardrails methodology. It also tracks other sources of cash flow. It can be used to set a tax target bracket to fill.</t>
  </si>
  <si>
    <t>It also tracks taxable income less standard deductions. I was unable to find any commercial software that had this capability so I created this spreadsheet for myself and others if interested.</t>
  </si>
  <si>
    <t>! Real annual returns from Wealthfront are used in the historical back testing in the examples. I hardcoded in the formulas, if you want you may substitute your own returns.</t>
  </si>
  <si>
    <t>! Set your starting withdrawal rate, I carry the final Guyton Klinger result forward to use as a start in the next year.</t>
  </si>
  <si>
    <t>The more frequent Guyton Klinger guardrail adjustments should lead to a quicker convergence on a sustainable withdrawal rate.</t>
  </si>
  <si>
    <t>Pilot Testing:</t>
  </si>
  <si>
    <t>! I began my 2-4 year pilot of using this adaptive GK Cash Flow tracking methodology in 1/2023.</t>
  </si>
  <si>
    <t>! The purple tabs with the year then N are using the same relative distributions of my actual accounts/pension, but scaled to $1,000,000 for easy reference.</t>
  </si>
  <si>
    <t>Spending Less Tax Total</t>
  </si>
  <si>
    <t>Spending Less Tax</t>
  </si>
  <si>
    <t>Paycheck Taxed</t>
  </si>
  <si>
    <t>Social Security Taxed</t>
  </si>
  <si>
    <t>Income Tax Total?</t>
  </si>
  <si>
    <t>Normalization Factor</t>
  </si>
  <si>
    <t>Calculated</t>
  </si>
  <si>
    <t>Applied</t>
  </si>
  <si>
    <t>Taxable Portfolio</t>
  </si>
  <si>
    <t>Tax Free Portfolio</t>
  </si>
  <si>
    <t>Tax Deferred Portfolio</t>
  </si>
  <si>
    <t>! The taxes part seems a bit fiddley, I will probably make several changes/additions to the calculations for clarification at year end 2023.</t>
  </si>
  <si>
    <t>! I wanted to release the beta version before year end 2022 in case anyone wanted to use or test this out in 2023. I plan to use and enhance in 2023.</t>
  </si>
  <si>
    <t>Change Log:</t>
  </si>
  <si>
    <t>! Added normalization factor calculation so that I and others may share our normalized actuals. Once factor is calculated copy and paste values so actuals are obfuscated.</t>
  </si>
  <si>
    <t>Date: 5/28/2023</t>
  </si>
  <si>
    <t>Version: 1.1 Beta</t>
  </si>
  <si>
    <t>! Included first five months of 2023 normalized calculations.</t>
  </si>
  <si>
    <t>! Included assett allocation for each account type for futher clarification.</t>
  </si>
  <si>
    <t>7/21/2023 56.5</t>
  </si>
  <si>
    <t>Pension Projection</t>
  </si>
  <si>
    <t>1/1/2023 59.5</t>
  </si>
  <si>
    <t>5/21/2023 59.5</t>
  </si>
  <si>
    <t>7/21/2023 59.5</t>
  </si>
  <si>
    <t>Version: 1.2 Beta</t>
  </si>
  <si>
    <t>! Still working out how best to distribute CPI-U so that it is accurate for the smaller periods. I have begun divinding it by the number of weeks in the month it is recorded for. I may switch this if it does not seem accurate over the course of a year.</t>
  </si>
  <si>
    <t>Date: 8/6/2023</t>
  </si>
  <si>
    <t>! Converting to weekly distributions in 2023, but continuing  every two weeks for comparison at YE2023.</t>
  </si>
  <si>
    <t>4/28/2024 60</t>
  </si>
  <si>
    <t>Spending Percentage</t>
  </si>
  <si>
    <t>Tax</t>
  </si>
  <si>
    <t>Total</t>
  </si>
  <si>
    <t>Estimated</t>
  </si>
  <si>
    <t>Actual</t>
  </si>
  <si>
    <t>Money Weighted Return</t>
  </si>
  <si>
    <t>Taxable Return</t>
  </si>
  <si>
    <t>Taxable %</t>
  </si>
  <si>
    <t>Tax Free Return</t>
  </si>
  <si>
    <t>Tax Free %</t>
  </si>
  <si>
    <t>Tax Deferred Return</t>
  </si>
  <si>
    <t>Tax Deferred %</t>
  </si>
  <si>
    <t>Cash Return</t>
  </si>
  <si>
    <t>Cash %</t>
  </si>
  <si>
    <t>Composite Return</t>
  </si>
  <si>
    <t>Spent</t>
  </si>
  <si>
    <t>Date: 10/27/2024</t>
  </si>
  <si>
    <t>Version: 2.0 Beta</t>
  </si>
  <si>
    <t>! Verifying in 2024 first year of retirement with no regular income but all spending cash generated from sale of assetts.</t>
  </si>
  <si>
    <t>! Converting to weekly distributions in 2024, dropped every other week methodology.</t>
  </si>
  <si>
    <t>! Added annual return for each assett location plus cash buffer and caculated composite based on percent in each location at the end of the year.</t>
  </si>
  <si>
    <t>Current Date and Commencement Age</t>
  </si>
  <si>
    <t>! Added annual actual spending as a percentage of total assetts and cash. Included separate calcualtion of taxes paid for withdrawals and Roth conversions. This will be higher as I plan large Roth conversions while I presume taxes are at their lowest and I have no income.</t>
  </si>
  <si>
    <t>Date: 1/5/2025</t>
  </si>
  <si>
    <t>Version: 1.0 Production - Except Estimated Tax withholding.</t>
  </si>
  <si>
    <t>! Corrected the 52 period GK adjustment calculation for 2024, I introduced a compounding error when I switched from 26 to 52 periods per year in 2023.</t>
  </si>
  <si>
    <t>! In order to share the calculations, but not my specific balances, I normalized all back to the most commonly used $1,000,000 liquid assets in retirement.</t>
  </si>
  <si>
    <t>! At start of each year I will publish a new empty form with updated calculations for that year. 2025 is available.</t>
  </si>
  <si>
    <t>Single Filing
Tax</t>
  </si>
  <si>
    <t>! Initial release posted to RRC shared google drive.</t>
  </si>
  <si>
    <t>Wealthfront Consolidation</t>
  </si>
  <si>
    <r>
      <t xml:space="preserve">! Comfortable with all the calculations </t>
    </r>
    <r>
      <rPr>
        <b/>
        <sz val="11"/>
        <color rgb="FFFF0000"/>
        <rFont val="Comic Sans MS"/>
        <family val="4"/>
      </rPr>
      <t>EXCEPT</t>
    </r>
    <r>
      <rPr>
        <sz val="11"/>
        <color rgb="FF000000"/>
        <rFont val="Comic Sans MS"/>
        <family val="4"/>
      </rPr>
      <t xml:space="preserve"> estimated tax witholding as I calculate a total witholding then linearize it over the periods of the year. Please do not use this for estimated taxes.</t>
    </r>
  </si>
  <si>
    <r>
      <t xml:space="preserve">! For second half of 2023 plan to continue to update 26 periods and 52 periods examples. </t>
    </r>
    <r>
      <rPr>
        <sz val="11"/>
        <color rgb="FFFF0000"/>
        <rFont val="Comic Sans MS"/>
        <family val="4"/>
      </rPr>
      <t>2024 - Decided to abandon 26 periods. Removed sheets from 2025 workbook.</t>
    </r>
  </si>
  <si>
    <t>Year</t>
  </si>
  <si>
    <t>Spent + Tax</t>
  </si>
  <si>
    <t>Debt Ratio</t>
  </si>
  <si>
    <t>Sequence of Returns</t>
  </si>
  <si>
    <t>Goal</t>
  </si>
  <si>
    <t>Date: 8/8/2025</t>
  </si>
  <si>
    <t>Version: 2.0 Production</t>
  </si>
  <si>
    <r>
      <t xml:space="preserve">! All ratios </t>
    </r>
    <r>
      <rPr>
        <b/>
        <sz val="11"/>
        <color rgb="FFFF0000"/>
        <rFont val="Comic Sans MS"/>
        <family val="4"/>
      </rPr>
      <t>include</t>
    </r>
    <r>
      <rPr>
        <sz val="11"/>
        <color rgb="FF000000"/>
        <rFont val="Comic Sans MS"/>
        <family val="4"/>
      </rPr>
      <t xml:space="preserve"> the NPV of my pension prior to beginning the annuity payouts at 60.</t>
    </r>
  </si>
  <si>
    <t>! Added Year over Year statistics worksheet with a table of calculated percentages, target goals and charts. This data is shareable with all as it represents relative retirement numbers only without absolutes included.</t>
  </si>
  <si>
    <t>Tax Withholding</t>
  </si>
  <si>
    <r>
      <t xml:space="preserve">! I have deprecated Estimated Tax Witholding calculations as in all my future use cases tax will be withheld and thus there is no reason for me to ever pay estimated taxes. (Whew!) I now use absolute tax withlolding to </t>
    </r>
    <r>
      <rPr>
        <b/>
        <sz val="11"/>
        <color rgb="FFFF0000"/>
        <rFont val="Comic Sans MS"/>
        <family val="4"/>
      </rPr>
      <t>track</t>
    </r>
    <r>
      <rPr>
        <sz val="11"/>
        <color rgb="FF000000"/>
        <rFont val="Comic Sans MS"/>
        <family val="4"/>
      </rPr>
      <t xml:space="preserve"> taxation only and not project.</t>
    </r>
  </si>
  <si>
    <r>
      <t xml:space="preserve">! All ratios are based on liquid assetts and </t>
    </r>
    <r>
      <rPr>
        <b/>
        <sz val="11"/>
        <color rgb="FFFF0000"/>
        <rFont val="Comic Sans MS"/>
        <family val="4"/>
      </rPr>
      <t>excludes home market value</t>
    </r>
    <r>
      <rPr>
        <sz val="11"/>
        <color rgb="FF000000"/>
        <rFont val="Comic Sans MS"/>
        <family val="4"/>
      </rPr>
      <t>.</t>
    </r>
  </si>
  <si>
    <t>! Used the CPI-U, US City Average, All Items NSA monthly divided by the periods and also compared the sum to the annual at the end of the year and they were very close to equal.</t>
  </si>
  <si>
    <t>! All historical CPI-U, US City Average, All Items are in place and accurate.</t>
  </si>
  <si>
    <t>! Update the CPI-U, US City Average, All Items NSA value from the website : https://www.bls.gov/cpi/latest-numbers.htm. If you want you may use the SA, just be sure to remain consistent.</t>
  </si>
  <si>
    <t>Mean</t>
  </si>
  <si>
    <r>
      <t xml:space="preserve">! All ratios </t>
    </r>
    <r>
      <rPr>
        <b/>
        <sz val="11"/>
        <color rgb="FFFF0000"/>
        <rFont val="Comic Sans MS"/>
        <family val="4"/>
      </rPr>
      <t>do not include</t>
    </r>
    <r>
      <rPr>
        <sz val="11"/>
        <color rgb="FF000000"/>
        <rFont val="Comic Sans MS"/>
        <family val="4"/>
      </rPr>
      <t xml:space="preserve"> the NPV of future Social Security Benefits payments that we plan to begin at 70.</t>
    </r>
  </si>
  <si>
    <t>Date: 1/11/2025</t>
  </si>
  <si>
    <t>Version: 2.1 Production</t>
  </si>
  <si>
    <t>! Added Year over Year mean row to statistics worksheet table.</t>
  </si>
  <si>
    <t>Date: 1/11/2026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</si>
</sst>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4" formatCode="_(&quot;$&quot;* #,##0.00_);_(&quot;$&quot;* \(#,##0.00\);_(&quot;$&quot;* &quot;-&quot;??_);_(@_)"/>
    <numFmt numFmtId="164" formatCode="0.0%"/>
    <numFmt numFmtId="165" formatCode="_([$$-409]* #,##0.00_);_([$$-409]* \(#,##0.00\);_([$$-409]* &quot;-&quot;??_);_(@_)"/>
    <numFmt numFmtId="166" formatCode="0.0000%"/>
    <numFmt numFmtId="167" formatCode="_([$$-409]* #,##0_);_([$$-409]* \(#,##0\);_([$$-409]* &quot;-&quot;??_);_(@_)"/>
    <numFmt numFmtId="168" formatCode="0.000%"/>
  </numFmts>
  <fonts count="15" x14ac:knownFonts="1">
    <font>
      <sz val="11"/>
      <color rgb="FF000000"/>
      <name val="Calibri"/>
      <family val="2"/>
    </font>
    <font>
      <sz val="11"/>
      <color theme="1"/>
      <name val="Calibri"/>
      <family val="2"/>
      <scheme val="minor"/>
    </font>
    <font>
      <sz val="11"/>
      <color rgb="FF006100"/>
      <name val="Calibri"/>
      <family val="2"/>
      <scheme val="minor"/>
    </font>
    <font>
      <sz val="11"/>
      <color rgb="FF3F3F76"/>
      <name val="Calibri"/>
      <family val="2"/>
      <scheme val="minor"/>
    </font>
    <font>
      <sz val="11"/>
      <color rgb="FF000000"/>
      <name val="Calibri"/>
      <family val="2"/>
    </font>
    <font>
      <sz val="11"/>
      <color rgb="FF000000"/>
      <name val="Comic Sans MS"/>
      <family val="4"/>
    </font>
    <font>
      <b/>
      <sz val="11"/>
      <color rgb="FF000000"/>
      <name val="Comic Sans MS"/>
      <family val="4"/>
    </font>
    <font>
      <b/>
      <sz val="11"/>
      <name val="Comic Sans MS"/>
      <family val="4"/>
    </font>
    <font>
      <b/>
      <sz val="11"/>
      <color rgb="FF00B050"/>
      <name val="Comic Sans MS"/>
      <family val="4"/>
    </font>
    <font>
      <b/>
      <sz val="11"/>
      <color rgb="FF0070C0"/>
      <name val="Comic Sans MS"/>
      <family val="4"/>
    </font>
    <font>
      <u/>
      <sz val="11"/>
      <color theme="10"/>
      <name val="Calibri"/>
      <family val="2"/>
    </font>
    <font>
      <b/>
      <sz val="11"/>
      <color rgb="FFFF0000"/>
      <name val="Comic Sans MS"/>
      <family val="4"/>
    </font>
    <font>
      <strike/>
      <sz val="11"/>
      <color rgb="FF000000"/>
      <name val="Comic Sans MS"/>
      <family val="4"/>
    </font>
    <font>
      <sz val="11"/>
      <color rgb="FFFF0000"/>
      <name val="Comic Sans MS"/>
      <family val="4"/>
    </font>
    <font>
      <b/>
      <sz val="11"/>
      <color theme="3" tint="-0.249977111117893"/>
      <name val="Comic Sans MS"/>
      <family val="4"/>
    </font>
  </fonts>
  <fills count="9">
    <fill>
      <patternFill patternType="none"/>
    </fill>
    <fill>
      <patternFill patternType="gray125"/>
    </fill>
    <fill>
      <patternFill patternType="solid">
        <fgColor rgb="FFC6EFCE"/>
      </patternFill>
    </fill>
    <fill>
      <patternFill patternType="solid">
        <fgColor rgb="FFFFCC99"/>
      </patternFill>
    </fill>
    <fill>
      <patternFill patternType="solid">
        <fgColor theme="3" tint="0.79998168889431442"/>
        <bgColor indexed="64"/>
      </patternFill>
    </fill>
    <fill>
      <patternFill patternType="solid">
        <fgColor rgb="FF00B050"/>
        <bgColor indexed="64"/>
      </patternFill>
    </fill>
    <fill>
      <patternFill patternType="solid">
        <fgColor theme="8" tint="0.59999389629810485"/>
        <bgColor indexed="64"/>
      </patternFill>
    </fill>
    <fill>
      <patternFill patternType="solid">
        <fgColor rgb="FF92D050"/>
        <bgColor indexed="64"/>
      </patternFill>
    </fill>
    <fill>
      <patternFill patternType="solid">
        <fgColor rgb="FFFFFF00"/>
        <bgColor indexed="64"/>
      </patternFill>
    </fill>
  </fills>
  <borders count="14">
    <border>
      <left/>
      <right/>
      <top/>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medium">
        <color indexed="64"/>
      </left>
      <right style="medium">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thin">
        <color rgb="FF7F7F7F"/>
      </bottom>
      <diagonal/>
    </border>
    <border>
      <left style="medium">
        <color indexed="64"/>
      </left>
      <right style="medium">
        <color indexed="64"/>
      </right>
      <top style="thin">
        <color indexed="64"/>
      </top>
      <bottom style="thin">
        <color indexed="64"/>
      </bottom>
      <diagonal/>
    </border>
  </borders>
  <cellStyleXfs count="7">
    <xf numFmtId="0" fontId="0" fillId="0" borderId="0" applyBorder="0"/>
    <xf numFmtId="0" fontId="2" fillId="2" borderId="0" applyNumberFormat="0" applyBorder="0" applyAlignment="0" applyProtection="0"/>
    <xf numFmtId="0" fontId="3" fillId="3" borderId="1" applyNumberFormat="0" applyAlignment="0" applyProtection="0"/>
    <xf numFmtId="0" fontId="1" fillId="0" borderId="0"/>
    <xf numFmtId="9" fontId="4" fillId="0" borderId="0" applyFont="0" applyFill="0" applyBorder="0" applyAlignment="0" applyProtection="0"/>
    <xf numFmtId="44" fontId="4" fillId="0" borderId="0" applyFont="0" applyFill="0" applyBorder="0" applyAlignment="0" applyProtection="0"/>
    <xf numFmtId="0" fontId="10" fillId="0" borderId="0" applyNumberFormat="0" applyFill="0" applyBorder="0" applyAlignment="0" applyProtection="0"/>
  </cellStyleXfs>
  <cellXfs count="93">
    <xf numFmtId="0" fontId="0" fillId="0" borderId="0" xfId="0"/>
    <xf numFmtId="0" fontId="5" fillId="0" borderId="0" xfId="0" applyFont="1" applyBorder="1"/>
    <xf numFmtId="0" fontId="5" fillId="0" borderId="0" xfId="0" applyFont="1" applyBorder="1" applyAlignment="1">
      <alignment wrapText="1"/>
    </xf>
    <xf numFmtId="0" fontId="6" fillId="0" borderId="5" xfId="0" applyFont="1" applyBorder="1" applyAlignment="1">
      <alignment horizontal="center" vertical="center" wrapText="1"/>
    </xf>
    <xf numFmtId="0" fontId="8" fillId="0" borderId="0" xfId="0" applyFont="1" applyBorder="1"/>
    <xf numFmtId="0" fontId="5" fillId="0" borderId="0" xfId="0" applyFont="1" applyBorder="1" applyAlignment="1">
      <alignment horizontal="center" wrapText="1"/>
    </xf>
    <xf numFmtId="44" fontId="8" fillId="0" borderId="6" xfId="5" applyFont="1" applyFill="1" applyBorder="1" applyAlignment="1" applyProtection="1">
      <alignment horizontal="center"/>
    </xf>
    <xf numFmtId="10" fontId="9" fillId="0" borderId="6" xfId="4" applyNumberFormat="1" applyFont="1" applyFill="1" applyBorder="1" applyAlignment="1" applyProtection="1">
      <alignment horizontal="center"/>
    </xf>
    <xf numFmtId="165" fontId="8" fillId="0" borderId="6" xfId="1" applyNumberFormat="1" applyFont="1" applyFill="1" applyBorder="1" applyAlignment="1" applyProtection="1">
      <alignment horizontal="center"/>
    </xf>
    <xf numFmtId="166" fontId="9" fillId="0" borderId="6" xfId="4" applyNumberFormat="1" applyFont="1" applyFill="1" applyBorder="1" applyAlignment="1" applyProtection="1">
      <alignment horizontal="center"/>
    </xf>
    <xf numFmtId="9" fontId="9" fillId="0" borderId="6" xfId="4" applyFont="1" applyFill="1" applyBorder="1" applyAlignment="1" applyProtection="1">
      <alignment horizontal="center"/>
    </xf>
    <xf numFmtId="165" fontId="8" fillId="0" borderId="6" xfId="1" applyNumberFormat="1" applyFont="1" applyFill="1" applyBorder="1" applyAlignment="1">
      <alignment horizontal="center"/>
    </xf>
    <xf numFmtId="0" fontId="8" fillId="0" borderId="0" xfId="0" applyFont="1" applyBorder="1" applyAlignment="1">
      <alignment horizontal="center"/>
    </xf>
    <xf numFmtId="167" fontId="8" fillId="0" borderId="6" xfId="1" applyNumberFormat="1" applyFont="1" applyFill="1" applyBorder="1" applyAlignment="1">
      <alignment horizontal="center"/>
    </xf>
    <xf numFmtId="44" fontId="8" fillId="0" borderId="2" xfId="5" applyFont="1" applyFill="1" applyBorder="1" applyAlignment="1">
      <alignment horizontal="center"/>
    </xf>
    <xf numFmtId="44" fontId="8" fillId="0" borderId="2" xfId="5" applyFont="1" applyFill="1" applyBorder="1" applyAlignment="1" applyProtection="1">
      <alignment horizontal="center"/>
    </xf>
    <xf numFmtId="3" fontId="7" fillId="0" borderId="2" xfId="1" applyNumberFormat="1" applyFont="1" applyFill="1" applyBorder="1" applyAlignment="1" applyProtection="1">
      <alignment horizontal="center"/>
    </xf>
    <xf numFmtId="10" fontId="9" fillId="0" borderId="2" xfId="4" applyNumberFormat="1" applyFont="1" applyFill="1" applyBorder="1" applyAlignment="1" applyProtection="1">
      <alignment horizontal="center"/>
    </xf>
    <xf numFmtId="166" fontId="9" fillId="0" borderId="2" xfId="4" applyNumberFormat="1" applyFont="1" applyFill="1" applyBorder="1" applyAlignment="1" applyProtection="1">
      <alignment horizontal="center"/>
    </xf>
    <xf numFmtId="9" fontId="9" fillId="0" borderId="2" xfId="4" applyFont="1" applyFill="1" applyBorder="1" applyAlignment="1" applyProtection="1">
      <alignment horizontal="center"/>
    </xf>
    <xf numFmtId="44" fontId="8" fillId="0" borderId="2" xfId="5" applyFont="1" applyBorder="1" applyAlignment="1">
      <alignment horizontal="center"/>
    </xf>
    <xf numFmtId="0" fontId="5" fillId="0" borderId="0" xfId="0" applyFont="1" applyBorder="1" applyAlignment="1">
      <alignment horizontal="center"/>
    </xf>
    <xf numFmtId="167" fontId="8" fillId="0" borderId="2" xfId="5" applyNumberFormat="1" applyFont="1" applyBorder="1" applyAlignment="1">
      <alignment horizontal="center"/>
    </xf>
    <xf numFmtId="44" fontId="8" fillId="0" borderId="4" xfId="5" applyFont="1" applyFill="1" applyBorder="1" applyAlignment="1">
      <alignment horizontal="center"/>
    </xf>
    <xf numFmtId="44" fontId="5" fillId="0" borderId="0" xfId="0" applyNumberFormat="1" applyFont="1" applyBorder="1" applyAlignment="1">
      <alignment horizontal="center"/>
    </xf>
    <xf numFmtId="168" fontId="9" fillId="0" borderId="2" xfId="4" applyNumberFormat="1" applyFont="1" applyFill="1" applyBorder="1" applyAlignment="1" applyProtection="1">
      <alignment horizontal="center"/>
    </xf>
    <xf numFmtId="168" fontId="9" fillId="0" borderId="6" xfId="4" applyNumberFormat="1" applyFont="1" applyFill="1" applyBorder="1" applyAlignment="1" applyProtection="1">
      <alignment horizontal="center"/>
    </xf>
    <xf numFmtId="44" fontId="6" fillId="0" borderId="3" xfId="0" applyNumberFormat="1" applyFont="1" applyBorder="1" applyAlignment="1">
      <alignment horizontal="center"/>
    </xf>
    <xf numFmtId="44" fontId="8" fillId="4" borderId="6" xfId="5" applyFont="1" applyFill="1" applyBorder="1" applyAlignment="1">
      <alignment horizontal="center"/>
    </xf>
    <xf numFmtId="44" fontId="8" fillId="4" borderId="2" xfId="5" applyFont="1" applyFill="1" applyBorder="1" applyAlignment="1">
      <alignment horizontal="center"/>
    </xf>
    <xf numFmtId="44" fontId="8" fillId="4" borderId="2" xfId="5" applyFont="1" applyFill="1" applyBorder="1" applyAlignment="1" applyProtection="1">
      <alignment horizontal="center"/>
    </xf>
    <xf numFmtId="0" fontId="6" fillId="0" borderId="3" xfId="0" applyFont="1" applyBorder="1" applyAlignment="1">
      <alignment horizontal="center" vertical="center" wrapText="1"/>
    </xf>
    <xf numFmtId="168" fontId="9" fillId="4" borderId="7" xfId="4" applyNumberFormat="1" applyFont="1" applyFill="1" applyBorder="1" applyAlignment="1" applyProtection="1">
      <alignment horizontal="center"/>
    </xf>
    <xf numFmtId="10" fontId="9" fillId="4" borderId="6" xfId="4" applyNumberFormat="1" applyFont="1" applyFill="1" applyBorder="1" applyAlignment="1" applyProtection="1">
      <alignment horizontal="center"/>
    </xf>
    <xf numFmtId="10" fontId="9" fillId="4" borderId="2" xfId="4" applyNumberFormat="1" applyFont="1" applyFill="1" applyBorder="1" applyAlignment="1" applyProtection="1">
      <alignment horizontal="center"/>
    </xf>
    <xf numFmtId="9" fontId="9" fillId="4" borderId="6" xfId="4" applyFont="1" applyFill="1" applyBorder="1" applyAlignment="1" applyProtection="1">
      <alignment horizontal="center"/>
    </xf>
    <xf numFmtId="44" fontId="8" fillId="4" borderId="4" xfId="5" applyFont="1" applyFill="1" applyBorder="1" applyAlignment="1">
      <alignment horizontal="center"/>
    </xf>
    <xf numFmtId="3" fontId="7" fillId="4" borderId="6" xfId="1" applyNumberFormat="1" applyFont="1" applyFill="1" applyBorder="1" applyAlignment="1" applyProtection="1">
      <alignment horizontal="center"/>
    </xf>
    <xf numFmtId="0" fontId="6" fillId="0" borderId="3" xfId="0" applyFont="1" applyBorder="1"/>
    <xf numFmtId="165" fontId="8" fillId="0" borderId="2" xfId="5" applyNumberFormat="1" applyFont="1" applyFill="1" applyBorder="1" applyAlignment="1">
      <alignment horizontal="center"/>
    </xf>
    <xf numFmtId="0" fontId="5" fillId="0" borderId="0" xfId="0" applyFont="1"/>
    <xf numFmtId="0" fontId="6" fillId="0" borderId="0" xfId="0" applyFont="1"/>
    <xf numFmtId="0" fontId="10" fillId="0" borderId="0" xfId="6"/>
    <xf numFmtId="4" fontId="5" fillId="0" borderId="0" xfId="0" applyNumberFormat="1" applyFont="1" applyBorder="1" applyAlignment="1">
      <alignment horizontal="center"/>
    </xf>
    <xf numFmtId="44" fontId="8" fillId="0" borderId="7" xfId="5" applyFont="1" applyFill="1" applyBorder="1" applyAlignment="1">
      <alignment horizontal="center"/>
    </xf>
    <xf numFmtId="14" fontId="7" fillId="0" borderId="7" xfId="0" applyNumberFormat="1" applyFont="1" applyBorder="1" applyAlignment="1">
      <alignment horizontal="center"/>
    </xf>
    <xf numFmtId="14" fontId="7" fillId="0" borderId="2" xfId="0" applyNumberFormat="1" applyFont="1" applyBorder="1" applyAlignment="1">
      <alignment horizontal="center"/>
    </xf>
    <xf numFmtId="0" fontId="5" fillId="0" borderId="3" xfId="0" applyFont="1" applyBorder="1" applyAlignment="1">
      <alignment horizontal="center"/>
    </xf>
    <xf numFmtId="49" fontId="6" fillId="0" borderId="3" xfId="0" applyNumberFormat="1" applyFont="1" applyBorder="1" applyAlignment="1">
      <alignment horizontal="center" wrapText="1"/>
    </xf>
    <xf numFmtId="168" fontId="9" fillId="0" borderId="7" xfId="4" applyNumberFormat="1" applyFont="1" applyFill="1" applyBorder="1" applyAlignment="1" applyProtection="1">
      <alignment horizontal="center"/>
    </xf>
    <xf numFmtId="0" fontId="6" fillId="0" borderId="0" xfId="0" applyFont="1" applyBorder="1" applyAlignment="1">
      <alignment horizontal="left"/>
    </xf>
    <xf numFmtId="44" fontId="8" fillId="4" borderId="7" xfId="5" applyFont="1" applyFill="1" applyBorder="1" applyAlignment="1" applyProtection="1">
      <alignment horizontal="center"/>
    </xf>
    <xf numFmtId="168" fontId="9" fillId="0" borderId="0" xfId="4" applyNumberFormat="1" applyFont="1" applyFill="1" applyBorder="1" applyAlignment="1" applyProtection="1">
      <alignment horizontal="center"/>
    </xf>
    <xf numFmtId="44" fontId="8" fillId="0" borderId="0" xfId="5" applyFont="1" applyFill="1" applyBorder="1" applyAlignment="1">
      <alignment horizontal="center"/>
    </xf>
    <xf numFmtId="164" fontId="9" fillId="0" borderId="0" xfId="4" applyNumberFormat="1" applyFont="1" applyFill="1" applyBorder="1" applyAlignment="1" applyProtection="1">
      <alignment horizontal="center"/>
    </xf>
    <xf numFmtId="0" fontId="6" fillId="0" borderId="9" xfId="0" applyFont="1" applyBorder="1" applyAlignment="1">
      <alignment horizontal="center" vertical="center" wrapText="1"/>
    </xf>
    <xf numFmtId="44" fontId="8" fillId="4" borderId="10" xfId="5" applyFont="1" applyFill="1" applyBorder="1" applyAlignment="1" applyProtection="1">
      <alignment horizontal="center"/>
    </xf>
    <xf numFmtId="44" fontId="8" fillId="4" borderId="11" xfId="5" applyFont="1" applyFill="1" applyBorder="1" applyAlignment="1">
      <alignment horizontal="center"/>
    </xf>
    <xf numFmtId="14" fontId="7" fillId="4" borderId="12" xfId="2" applyNumberFormat="1" applyFont="1" applyFill="1" applyBorder="1"/>
    <xf numFmtId="14" fontId="7" fillId="0" borderId="13" xfId="0" applyNumberFormat="1" applyFont="1" applyBorder="1"/>
    <xf numFmtId="9" fontId="9" fillId="0" borderId="7" xfId="4" applyFont="1" applyFill="1" applyBorder="1" applyAlignment="1" applyProtection="1">
      <alignment horizontal="center"/>
    </xf>
    <xf numFmtId="0" fontId="5" fillId="0" borderId="0" xfId="0" applyFont="1" applyBorder="1" applyAlignment="1">
      <alignment horizontal="right"/>
    </xf>
    <xf numFmtId="10" fontId="6" fillId="0" borderId="3" xfId="0" applyNumberFormat="1" applyFont="1" applyBorder="1" applyAlignment="1">
      <alignment horizontal="center" vertical="center"/>
    </xf>
    <xf numFmtId="168" fontId="9" fillId="0" borderId="3" xfId="4" applyNumberFormat="1" applyFont="1" applyFill="1" applyBorder="1" applyAlignment="1" applyProtection="1">
      <alignment horizontal="center" vertical="center"/>
    </xf>
    <xf numFmtId="168" fontId="9" fillId="0" borderId="0" xfId="4" applyNumberFormat="1" applyFont="1" applyFill="1" applyBorder="1" applyAlignment="1" applyProtection="1">
      <alignment horizontal="center" vertical="center"/>
    </xf>
    <xf numFmtId="168" fontId="11" fillId="0" borderId="3" xfId="4" applyNumberFormat="1" applyFont="1" applyFill="1" applyBorder="1" applyAlignment="1" applyProtection="1">
      <alignment horizontal="center" vertical="center"/>
    </xf>
    <xf numFmtId="0" fontId="6" fillId="0" borderId="0" xfId="0" applyFont="1" applyBorder="1" applyAlignment="1">
      <alignment horizontal="center" vertical="center" wrapText="1"/>
    </xf>
    <xf numFmtId="0" fontId="6" fillId="0" borderId="0" xfId="0" applyFont="1" applyBorder="1"/>
    <xf numFmtId="44" fontId="6" fillId="0" borderId="0" xfId="0" applyNumberFormat="1" applyFont="1" applyBorder="1" applyAlignment="1">
      <alignment horizontal="center"/>
    </xf>
    <xf numFmtId="4" fontId="5" fillId="0" borderId="0" xfId="0" applyNumberFormat="1" applyFont="1" applyAlignment="1">
      <alignment horizontal="center"/>
    </xf>
    <xf numFmtId="166" fontId="6" fillId="0" borderId="0" xfId="0" applyNumberFormat="1" applyFont="1" applyBorder="1" applyAlignment="1">
      <alignment horizontal="center"/>
    </xf>
    <xf numFmtId="10" fontId="6" fillId="5" borderId="3" xfId="0" applyNumberFormat="1" applyFont="1" applyFill="1" applyBorder="1" applyAlignment="1">
      <alignment horizontal="center"/>
    </xf>
    <xf numFmtId="168" fontId="6" fillId="0" borderId="3" xfId="0" applyNumberFormat="1" applyFont="1" applyBorder="1" applyAlignment="1">
      <alignment horizontal="center"/>
    </xf>
    <xf numFmtId="0" fontId="5" fillId="0" borderId="0" xfId="0" applyFont="1" applyAlignment="1">
      <alignment wrapText="1"/>
    </xf>
    <xf numFmtId="0" fontId="12" fillId="0" borderId="0" xfId="0" applyFont="1"/>
    <xf numFmtId="49" fontId="6" fillId="0" borderId="3" xfId="0" applyNumberFormat="1" applyFont="1" applyBorder="1" applyAlignment="1">
      <alignment horizontal="center" vertical="center" wrapText="1"/>
    </xf>
    <xf numFmtId="44" fontId="8" fillId="0" borderId="3" xfId="5" applyFont="1" applyFill="1" applyBorder="1" applyAlignment="1" applyProtection="1">
      <alignment horizontal="center" vertical="center"/>
    </xf>
    <xf numFmtId="0" fontId="5" fillId="0" borderId="0" xfId="0" applyFont="1" applyBorder="1" applyAlignment="1">
      <alignment horizontal="center" vertical="center"/>
    </xf>
    <xf numFmtId="164" fontId="9" fillId="0" borderId="0" xfId="4" applyNumberFormat="1" applyFont="1" applyFill="1" applyBorder="1" applyAlignment="1" applyProtection="1">
      <alignment horizontal="center" vertical="center"/>
    </xf>
    <xf numFmtId="0" fontId="5" fillId="0" borderId="3" xfId="0" applyFont="1" applyBorder="1" applyAlignment="1">
      <alignment horizontal="center" vertical="center"/>
    </xf>
    <xf numFmtId="168" fontId="6" fillId="0" borderId="3" xfId="0" applyNumberFormat="1" applyFont="1" applyBorder="1" applyAlignment="1">
      <alignment horizontal="center" vertical="center"/>
    </xf>
    <xf numFmtId="0" fontId="6" fillId="0" borderId="8" xfId="0" applyFont="1" applyBorder="1" applyAlignment="1">
      <alignment horizontal="center" vertical="center"/>
    </xf>
    <xf numFmtId="44" fontId="6" fillId="0" borderId="3" xfId="0" applyNumberFormat="1" applyFont="1" applyBorder="1" applyAlignment="1">
      <alignment horizontal="center" vertical="center"/>
    </xf>
    <xf numFmtId="0" fontId="6" fillId="6" borderId="3" xfId="0" applyFont="1" applyFill="1" applyBorder="1" applyAlignment="1">
      <alignment horizontal="center" vertical="center" wrapText="1"/>
    </xf>
    <xf numFmtId="49" fontId="6" fillId="6" borderId="3" xfId="0" applyNumberFormat="1" applyFont="1" applyFill="1" applyBorder="1" applyAlignment="1">
      <alignment horizontal="center" wrapText="1"/>
    </xf>
    <xf numFmtId="49" fontId="6" fillId="6" borderId="3" xfId="0" applyNumberFormat="1" applyFont="1" applyFill="1" applyBorder="1" applyAlignment="1">
      <alignment horizontal="center" vertical="center" wrapText="1"/>
    </xf>
    <xf numFmtId="1" fontId="9" fillId="6" borderId="3" xfId="4" applyNumberFormat="1" applyFont="1" applyFill="1" applyBorder="1" applyAlignment="1" applyProtection="1">
      <alignment horizontal="center" vertical="center"/>
    </xf>
    <xf numFmtId="168" fontId="9" fillId="6" borderId="3" xfId="4" applyNumberFormat="1" applyFont="1" applyFill="1" applyBorder="1" applyAlignment="1" applyProtection="1">
      <alignment horizontal="center" vertical="center"/>
    </xf>
    <xf numFmtId="168" fontId="11" fillId="6" borderId="3" xfId="4" applyNumberFormat="1" applyFont="1" applyFill="1" applyBorder="1" applyAlignment="1" applyProtection="1">
      <alignment horizontal="center" vertical="center"/>
    </xf>
    <xf numFmtId="1" fontId="14" fillId="7" borderId="3" xfId="4" applyNumberFormat="1" applyFont="1" applyFill="1" applyBorder="1" applyAlignment="1" applyProtection="1">
      <alignment horizontal="center" vertical="center"/>
    </xf>
    <xf numFmtId="9" fontId="14" fillId="7" borderId="3" xfId="4" applyFont="1" applyFill="1" applyBorder="1" applyAlignment="1" applyProtection="1">
      <alignment horizontal="center" vertical="center"/>
    </xf>
    <xf numFmtId="168" fontId="14" fillId="8" borderId="3" xfId="4" applyNumberFormat="1" applyFont="1" applyFill="1" applyBorder="1" applyAlignment="1" applyProtection="1">
      <alignment horizontal="center" vertical="center"/>
    </xf>
    <xf numFmtId="1" fontId="14" fillId="8" borderId="3" xfId="4" applyNumberFormat="1" applyFont="1" applyFill="1" applyBorder="1" applyAlignment="1" applyProtection="1">
      <alignment horizontal="center" vertical="center"/>
    </xf>
  </cellXfs>
  <cellStyles count="7">
    <cellStyle name="Currency" xfId="5" builtinId="4"/>
    <cellStyle name="Good" xfId="1" builtinId="26"/>
    <cellStyle name="Hyperlink" xfId="6" builtinId="8"/>
    <cellStyle name="Input" xfId="2" builtinId="20"/>
    <cellStyle name="Normal" xfId="0" builtinId="0"/>
    <cellStyle name="Normal 2" xfId="3" xr:uid="{00000000-0005-0000-0000-000003000000}"/>
    <cellStyle name="Percent" xfId="4" builtinId="5"/>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CC99FF"/>
      <color rgb="FF99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Percent Asset Location</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lineChart>
        <c:grouping val="standard"/>
        <c:varyColors val="0"/>
        <c:ser>
          <c:idx val="0"/>
          <c:order val="0"/>
          <c:tx>
            <c:strRef>
              <c:f>'GK Cash Flow 2025'!$C$1</c:f>
              <c:strCache>
                <c:ptCount val="1"/>
                <c:pt idx="0">
                  <c:v>Taxable</c:v>
                </c:pt>
              </c:strCache>
            </c:strRef>
          </c:tx>
          <c:spPr>
            <a:ln w="22225" cap="rnd">
              <a:solidFill>
                <a:schemeClr val="accent1"/>
              </a:solidFill>
            </a:ln>
            <a:effectLst>
              <a:glow rad="139700">
                <a:schemeClr val="accent1">
                  <a:satMod val="175000"/>
                  <a:alpha val="14000"/>
                </a:schemeClr>
              </a:glow>
            </a:effectLst>
          </c:spPr>
          <c:marker>
            <c:symbol val="none"/>
          </c:marker>
          <c:cat>
            <c:numRef>
              <c:f>'GK Cash Flow 2025'!$A$3:$A$54</c:f>
              <c:numCache>
                <c:formatCode>m/d/yyyy</c:formatCode>
                <c:ptCount val="52"/>
                <c:pt idx="0">
                  <c:v>45669</c:v>
                </c:pt>
                <c:pt idx="1">
                  <c:v>45676</c:v>
                </c:pt>
                <c:pt idx="2">
                  <c:v>45683</c:v>
                </c:pt>
                <c:pt idx="3">
                  <c:v>45690</c:v>
                </c:pt>
                <c:pt idx="4">
                  <c:v>45697</c:v>
                </c:pt>
                <c:pt idx="5">
                  <c:v>45704</c:v>
                </c:pt>
                <c:pt idx="6">
                  <c:v>45711</c:v>
                </c:pt>
                <c:pt idx="7">
                  <c:v>45718</c:v>
                </c:pt>
                <c:pt idx="8">
                  <c:v>45725</c:v>
                </c:pt>
                <c:pt idx="9">
                  <c:v>45732</c:v>
                </c:pt>
                <c:pt idx="10">
                  <c:v>45739</c:v>
                </c:pt>
                <c:pt idx="11">
                  <c:v>45746</c:v>
                </c:pt>
                <c:pt idx="12">
                  <c:v>45753</c:v>
                </c:pt>
                <c:pt idx="13">
                  <c:v>45760</c:v>
                </c:pt>
                <c:pt idx="14">
                  <c:v>45767</c:v>
                </c:pt>
                <c:pt idx="15">
                  <c:v>45774</c:v>
                </c:pt>
                <c:pt idx="16">
                  <c:v>45781</c:v>
                </c:pt>
                <c:pt idx="17">
                  <c:v>45788</c:v>
                </c:pt>
                <c:pt idx="18">
                  <c:v>45795</c:v>
                </c:pt>
                <c:pt idx="19">
                  <c:v>45802</c:v>
                </c:pt>
                <c:pt idx="20">
                  <c:v>45809</c:v>
                </c:pt>
                <c:pt idx="21">
                  <c:v>45816</c:v>
                </c:pt>
                <c:pt idx="22">
                  <c:v>45823</c:v>
                </c:pt>
                <c:pt idx="23">
                  <c:v>45830</c:v>
                </c:pt>
                <c:pt idx="24">
                  <c:v>45837</c:v>
                </c:pt>
                <c:pt idx="25">
                  <c:v>45844</c:v>
                </c:pt>
                <c:pt idx="26">
                  <c:v>45851</c:v>
                </c:pt>
                <c:pt idx="27">
                  <c:v>45858</c:v>
                </c:pt>
                <c:pt idx="28">
                  <c:v>45865</c:v>
                </c:pt>
                <c:pt idx="29">
                  <c:v>45872</c:v>
                </c:pt>
                <c:pt idx="30">
                  <c:v>45879</c:v>
                </c:pt>
                <c:pt idx="31">
                  <c:v>45886</c:v>
                </c:pt>
                <c:pt idx="32">
                  <c:v>45893</c:v>
                </c:pt>
                <c:pt idx="33">
                  <c:v>45900</c:v>
                </c:pt>
                <c:pt idx="34">
                  <c:v>45907</c:v>
                </c:pt>
                <c:pt idx="35">
                  <c:v>45914</c:v>
                </c:pt>
                <c:pt idx="36">
                  <c:v>45921</c:v>
                </c:pt>
                <c:pt idx="37">
                  <c:v>45928</c:v>
                </c:pt>
                <c:pt idx="38">
                  <c:v>45935</c:v>
                </c:pt>
                <c:pt idx="39">
                  <c:v>45942</c:v>
                </c:pt>
                <c:pt idx="40">
                  <c:v>45949</c:v>
                </c:pt>
                <c:pt idx="41">
                  <c:v>45956</c:v>
                </c:pt>
                <c:pt idx="42">
                  <c:v>45963</c:v>
                </c:pt>
                <c:pt idx="43">
                  <c:v>45970</c:v>
                </c:pt>
                <c:pt idx="44">
                  <c:v>45977</c:v>
                </c:pt>
                <c:pt idx="45">
                  <c:v>45984</c:v>
                </c:pt>
                <c:pt idx="46">
                  <c:v>45991</c:v>
                </c:pt>
                <c:pt idx="47">
                  <c:v>45998</c:v>
                </c:pt>
                <c:pt idx="48">
                  <c:v>46005</c:v>
                </c:pt>
                <c:pt idx="49">
                  <c:v>46012</c:v>
                </c:pt>
                <c:pt idx="50">
                  <c:v>46019</c:v>
                </c:pt>
                <c:pt idx="51">
                  <c:v>46022</c:v>
                </c:pt>
              </c:numCache>
              <c:extLst/>
            </c:numRef>
          </c:cat>
          <c:val>
            <c:numRef>
              <c:f>'GK Cash Flow 2025'!$C$2:$C$54</c:f>
              <c:numCache>
                <c:formatCode>0.000%</c:formatCode>
                <c:ptCount val="53"/>
                <c:pt idx="0">
                  <c:v>6.5342013528015247E-2</c:v>
                </c:pt>
                <c:pt idx="1">
                  <c:v>6.5217660816061798E-2</c:v>
                </c:pt>
                <c:pt idx="2">
                  <c:v>6.4696852062878382E-2</c:v>
                </c:pt>
                <c:pt idx="3">
                  <c:v>6.5335912493429224E-2</c:v>
                </c:pt>
                <c:pt idx="4">
                  <c:v>6.462594519259926E-2</c:v>
                </c:pt>
                <c:pt idx="5">
                  <c:v>6.4789394280339044E-2</c:v>
                </c:pt>
                <c:pt idx="6">
                  <c:v>6.5191766895791148E-2</c:v>
                </c:pt>
                <c:pt idx="7">
                  <c:v>6.4796530995467422E-2</c:v>
                </c:pt>
                <c:pt idx="8">
                  <c:v>6.5101235459274584E-2</c:v>
                </c:pt>
                <c:pt idx="9">
                  <c:v>6.5097920733159884E-2</c:v>
                </c:pt>
                <c:pt idx="10">
                  <c:v>6.5437764956125161E-2</c:v>
                </c:pt>
                <c:pt idx="11">
                  <c:v>6.5310110757519899E-2</c:v>
                </c:pt>
                <c:pt idx="12">
                  <c:v>6.4903079985846948E-2</c:v>
                </c:pt>
                <c:pt idx="13">
                  <c:v>6.4766787491435954E-2</c:v>
                </c:pt>
                <c:pt idx="14">
                  <c:v>6.6572181949005105E-2</c:v>
                </c:pt>
                <c:pt idx="15">
                  <c:v>6.5340866967923128E-2</c:v>
                </c:pt>
                <c:pt idx="16">
                  <c:v>6.6087295091905598E-2</c:v>
                </c:pt>
                <c:pt idx="17">
                  <c:v>6.6685984744277615E-2</c:v>
                </c:pt>
                <c:pt idx="18">
                  <c:v>6.5767685359295253E-2</c:v>
                </c:pt>
                <c:pt idx="19">
                  <c:v>6.6477384388918731E-2</c:v>
                </c:pt>
                <c:pt idx="20">
                  <c:v>6.6746689904511908E-2</c:v>
                </c:pt>
                <c:pt idx="21">
                  <c:v>6.6768159315467326E-2</c:v>
                </c:pt>
                <c:pt idx="22">
                  <c:v>6.7176896613862169E-2</c:v>
                </c:pt>
                <c:pt idx="23">
                  <c:v>6.7540929910706662E-2</c:v>
                </c:pt>
                <c:pt idx="24">
                  <c:v>6.7247327314021513E-2</c:v>
                </c:pt>
                <c:pt idx="25">
                  <c:v>7.1889194425685324E-2</c:v>
                </c:pt>
                <c:pt idx="26">
                  <c:v>7.176761795637894E-2</c:v>
                </c:pt>
                <c:pt idx="27">
                  <c:v>7.1907388673946429E-2</c:v>
                </c:pt>
                <c:pt idx="28">
                  <c:v>7.2159384411056918E-2</c:v>
                </c:pt>
                <c:pt idx="29">
                  <c:v>7.2606061102876165E-2</c:v>
                </c:pt>
                <c:pt idx="30">
                  <c:v>7.2766513604800354E-2</c:v>
                </c:pt>
                <c:pt idx="31">
                  <c:v>7.3323329823690539E-2</c:v>
                </c:pt>
                <c:pt idx="32">
                  <c:v>7.3315555613849975E-2</c:v>
                </c:pt>
                <c:pt idx="33">
                  <c:v>7.3212412952672709E-2</c:v>
                </c:pt>
                <c:pt idx="34">
                  <c:v>7.314654153522375E-2</c:v>
                </c:pt>
                <c:pt idx="35">
                  <c:v>7.3246192015237077E-2</c:v>
                </c:pt>
                <c:pt idx="36">
                  <c:v>7.3895816400535067E-2</c:v>
                </c:pt>
                <c:pt idx="37">
                  <c:v>7.4084662793164169E-2</c:v>
                </c:pt>
                <c:pt idx="38">
                  <c:v>7.418360797258694E-2</c:v>
                </c:pt>
                <c:pt idx="39">
                  <c:v>7.4708984902449233E-2</c:v>
                </c:pt>
                <c:pt idx="40">
                  <c:v>7.4814654857123505E-2</c:v>
                </c:pt>
                <c:pt idx="41">
                  <c:v>7.5052559250193482E-2</c:v>
                </c:pt>
                <c:pt idx="42">
                  <c:v>7.5219999284817832E-2</c:v>
                </c:pt>
                <c:pt idx="43">
                  <c:v>7.6499345242456676E-2</c:v>
                </c:pt>
                <c:pt idx="44">
                  <c:v>7.5860071230284501E-2</c:v>
                </c:pt>
                <c:pt idx="45">
                  <c:v>7.6174283825759692E-2</c:v>
                </c:pt>
                <c:pt idx="46">
                  <c:v>7.6276437373190994E-2</c:v>
                </c:pt>
                <c:pt idx="47">
                  <c:v>7.6079437024289681E-2</c:v>
                </c:pt>
                <c:pt idx="48">
                  <c:v>7.6109073133932323E-2</c:v>
                </c:pt>
                <c:pt idx="49">
                  <c:v>7.5548031384623571E-2</c:v>
                </c:pt>
                <c:pt idx="50">
                  <c:v>7.5628903301650979E-2</c:v>
                </c:pt>
                <c:pt idx="51">
                  <c:v>7.6357587024378559E-2</c:v>
                </c:pt>
                <c:pt idx="52">
                  <c:v>7.6418558121063435E-2</c:v>
                </c:pt>
              </c:numCache>
              <c:extLst/>
            </c:numRef>
          </c:val>
          <c:smooth val="0"/>
          <c:extLst>
            <c:ext xmlns:c16="http://schemas.microsoft.com/office/drawing/2014/chart" uri="{C3380CC4-5D6E-409C-BE32-E72D297353CC}">
              <c16:uniqueId val="{00000000-AF5A-4A55-95DA-94174E072BEB}"/>
            </c:ext>
          </c:extLst>
        </c:ser>
        <c:ser>
          <c:idx val="1"/>
          <c:order val="1"/>
          <c:tx>
            <c:strRef>
              <c:f>'GK Cash Flow 2025'!$E$1</c:f>
              <c:strCache>
                <c:ptCount val="1"/>
                <c:pt idx="0">
                  <c:v>Tax Free</c:v>
                </c:pt>
              </c:strCache>
            </c:strRef>
          </c:tx>
          <c:spPr>
            <a:ln w="22225" cap="rnd">
              <a:solidFill>
                <a:schemeClr val="accent2"/>
              </a:solidFill>
            </a:ln>
            <a:effectLst>
              <a:glow rad="139700">
                <a:schemeClr val="accent2">
                  <a:satMod val="175000"/>
                  <a:alpha val="14000"/>
                </a:schemeClr>
              </a:glow>
            </a:effectLst>
          </c:spPr>
          <c:marker>
            <c:symbol val="none"/>
          </c:marker>
          <c:cat>
            <c:numRef>
              <c:f>'GK Cash Flow 2025'!$A$3:$A$54</c:f>
              <c:numCache>
                <c:formatCode>m/d/yyyy</c:formatCode>
                <c:ptCount val="52"/>
                <c:pt idx="0">
                  <c:v>45669</c:v>
                </c:pt>
                <c:pt idx="1">
                  <c:v>45676</c:v>
                </c:pt>
                <c:pt idx="2">
                  <c:v>45683</c:v>
                </c:pt>
                <c:pt idx="3">
                  <c:v>45690</c:v>
                </c:pt>
                <c:pt idx="4">
                  <c:v>45697</c:v>
                </c:pt>
                <c:pt idx="5">
                  <c:v>45704</c:v>
                </c:pt>
                <c:pt idx="6">
                  <c:v>45711</c:v>
                </c:pt>
                <c:pt idx="7">
                  <c:v>45718</c:v>
                </c:pt>
                <c:pt idx="8">
                  <c:v>45725</c:v>
                </c:pt>
                <c:pt idx="9">
                  <c:v>45732</c:v>
                </c:pt>
                <c:pt idx="10">
                  <c:v>45739</c:v>
                </c:pt>
                <c:pt idx="11">
                  <c:v>45746</c:v>
                </c:pt>
                <c:pt idx="12">
                  <c:v>45753</c:v>
                </c:pt>
                <c:pt idx="13">
                  <c:v>45760</c:v>
                </c:pt>
                <c:pt idx="14">
                  <c:v>45767</c:v>
                </c:pt>
                <c:pt idx="15">
                  <c:v>45774</c:v>
                </c:pt>
                <c:pt idx="16">
                  <c:v>45781</c:v>
                </c:pt>
                <c:pt idx="17">
                  <c:v>45788</c:v>
                </c:pt>
                <c:pt idx="18">
                  <c:v>45795</c:v>
                </c:pt>
                <c:pt idx="19">
                  <c:v>45802</c:v>
                </c:pt>
                <c:pt idx="20">
                  <c:v>45809</c:v>
                </c:pt>
                <c:pt idx="21">
                  <c:v>45816</c:v>
                </c:pt>
                <c:pt idx="22">
                  <c:v>45823</c:v>
                </c:pt>
                <c:pt idx="23">
                  <c:v>45830</c:v>
                </c:pt>
                <c:pt idx="24">
                  <c:v>45837</c:v>
                </c:pt>
                <c:pt idx="25">
                  <c:v>45844</c:v>
                </c:pt>
                <c:pt idx="26">
                  <c:v>45851</c:v>
                </c:pt>
                <c:pt idx="27">
                  <c:v>45858</c:v>
                </c:pt>
                <c:pt idx="28">
                  <c:v>45865</c:v>
                </c:pt>
                <c:pt idx="29">
                  <c:v>45872</c:v>
                </c:pt>
                <c:pt idx="30">
                  <c:v>45879</c:v>
                </c:pt>
                <c:pt idx="31">
                  <c:v>45886</c:v>
                </c:pt>
                <c:pt idx="32">
                  <c:v>45893</c:v>
                </c:pt>
                <c:pt idx="33">
                  <c:v>45900</c:v>
                </c:pt>
                <c:pt idx="34">
                  <c:v>45907</c:v>
                </c:pt>
                <c:pt idx="35">
                  <c:v>45914</c:v>
                </c:pt>
                <c:pt idx="36">
                  <c:v>45921</c:v>
                </c:pt>
                <c:pt idx="37">
                  <c:v>45928</c:v>
                </c:pt>
                <c:pt idx="38">
                  <c:v>45935</c:v>
                </c:pt>
                <c:pt idx="39">
                  <c:v>45942</c:v>
                </c:pt>
                <c:pt idx="40">
                  <c:v>45949</c:v>
                </c:pt>
                <c:pt idx="41">
                  <c:v>45956</c:v>
                </c:pt>
                <c:pt idx="42">
                  <c:v>45963</c:v>
                </c:pt>
                <c:pt idx="43">
                  <c:v>45970</c:v>
                </c:pt>
                <c:pt idx="44">
                  <c:v>45977</c:v>
                </c:pt>
                <c:pt idx="45">
                  <c:v>45984</c:v>
                </c:pt>
                <c:pt idx="46">
                  <c:v>45991</c:v>
                </c:pt>
                <c:pt idx="47">
                  <c:v>45998</c:v>
                </c:pt>
                <c:pt idx="48">
                  <c:v>46005</c:v>
                </c:pt>
                <c:pt idx="49">
                  <c:v>46012</c:v>
                </c:pt>
                <c:pt idx="50">
                  <c:v>46019</c:v>
                </c:pt>
                <c:pt idx="51">
                  <c:v>46022</c:v>
                </c:pt>
              </c:numCache>
              <c:extLst/>
            </c:numRef>
          </c:cat>
          <c:val>
            <c:numRef>
              <c:f>'GK Cash Flow 2025'!$E$2:$E$54</c:f>
              <c:numCache>
                <c:formatCode>0.000%</c:formatCode>
                <c:ptCount val="53"/>
                <c:pt idx="0">
                  <c:v>0.23081530623807461</c:v>
                </c:pt>
                <c:pt idx="1">
                  <c:v>0.22978137017071396</c:v>
                </c:pt>
                <c:pt idx="2">
                  <c:v>0.23035608722710527</c:v>
                </c:pt>
                <c:pt idx="3">
                  <c:v>0.23135419286423226</c:v>
                </c:pt>
                <c:pt idx="4">
                  <c:v>0.2314979313510227</c:v>
                </c:pt>
                <c:pt idx="5">
                  <c:v>0.2320850750683025</c:v>
                </c:pt>
                <c:pt idx="6">
                  <c:v>0.23222307588992108</c:v>
                </c:pt>
                <c:pt idx="7">
                  <c:v>0.23144685028937981</c:v>
                </c:pt>
                <c:pt idx="8">
                  <c:v>0.23474326867915635</c:v>
                </c:pt>
                <c:pt idx="9">
                  <c:v>0.23610092538395561</c:v>
                </c:pt>
                <c:pt idx="10">
                  <c:v>0.2360691997010482</c:v>
                </c:pt>
                <c:pt idx="11">
                  <c:v>0.23618882944312625</c:v>
                </c:pt>
                <c:pt idx="12">
                  <c:v>0.23682968746311805</c:v>
                </c:pt>
                <c:pt idx="13">
                  <c:v>0.23655035642584599</c:v>
                </c:pt>
                <c:pt idx="14">
                  <c:v>0.23938722115936686</c:v>
                </c:pt>
                <c:pt idx="15">
                  <c:v>0.23789039509314625</c:v>
                </c:pt>
                <c:pt idx="16">
                  <c:v>0.23822902905461521</c:v>
                </c:pt>
                <c:pt idx="17">
                  <c:v>0.24101856051776377</c:v>
                </c:pt>
                <c:pt idx="18">
                  <c:v>0.23834079720811654</c:v>
                </c:pt>
                <c:pt idx="19">
                  <c:v>0.23851572191758375</c:v>
                </c:pt>
                <c:pt idx="20">
                  <c:v>0.23852059786051755</c:v>
                </c:pt>
                <c:pt idx="21">
                  <c:v>0.23837388863042275</c:v>
                </c:pt>
                <c:pt idx="22">
                  <c:v>0.2385148741718863</c:v>
                </c:pt>
                <c:pt idx="23">
                  <c:v>0.23927228411122325</c:v>
                </c:pt>
                <c:pt idx="24">
                  <c:v>0.23896623784606727</c:v>
                </c:pt>
                <c:pt idx="25">
                  <c:v>0.34143098132802807</c:v>
                </c:pt>
                <c:pt idx="26">
                  <c:v>0.3418896125343176</c:v>
                </c:pt>
                <c:pt idx="27">
                  <c:v>0.34153331102658518</c:v>
                </c:pt>
                <c:pt idx="28">
                  <c:v>0.34144564701627017</c:v>
                </c:pt>
                <c:pt idx="29">
                  <c:v>0.34309639313510881</c:v>
                </c:pt>
                <c:pt idx="30">
                  <c:v>0.34204808053692171</c:v>
                </c:pt>
                <c:pt idx="31">
                  <c:v>0.34273273479278971</c:v>
                </c:pt>
                <c:pt idx="32">
                  <c:v>0.3427101020441759</c:v>
                </c:pt>
                <c:pt idx="33">
                  <c:v>0.34528758856680936</c:v>
                </c:pt>
                <c:pt idx="34">
                  <c:v>0.34541216825138138</c:v>
                </c:pt>
                <c:pt idx="35">
                  <c:v>0.34547043897515889</c:v>
                </c:pt>
                <c:pt idx="36">
                  <c:v>0.34646201073925076</c:v>
                </c:pt>
                <c:pt idx="37">
                  <c:v>0.34654431846525163</c:v>
                </c:pt>
                <c:pt idx="38">
                  <c:v>0.34814833893555103</c:v>
                </c:pt>
                <c:pt idx="39">
                  <c:v>0.34858587191062318</c:v>
                </c:pt>
                <c:pt idx="40">
                  <c:v>0.34698386030050288</c:v>
                </c:pt>
                <c:pt idx="41">
                  <c:v>0.34884318445639911</c:v>
                </c:pt>
                <c:pt idx="42">
                  <c:v>0.34974734260624674</c:v>
                </c:pt>
                <c:pt idx="43">
                  <c:v>0.34892741160106816</c:v>
                </c:pt>
                <c:pt idx="44">
                  <c:v>0.34964803007187423</c:v>
                </c:pt>
                <c:pt idx="45">
                  <c:v>0.34881660398989772</c:v>
                </c:pt>
                <c:pt idx="46">
                  <c:v>0.34963159438690722</c:v>
                </c:pt>
                <c:pt idx="47">
                  <c:v>0.35015110436533625</c:v>
                </c:pt>
                <c:pt idx="48">
                  <c:v>0.34965761233092285</c:v>
                </c:pt>
                <c:pt idx="49">
                  <c:v>0.34922499697594483</c:v>
                </c:pt>
                <c:pt idx="50">
                  <c:v>0.34828526428185774</c:v>
                </c:pt>
                <c:pt idx="51">
                  <c:v>0.35012673212484169</c:v>
                </c:pt>
                <c:pt idx="52">
                  <c:v>0.35017883628475999</c:v>
                </c:pt>
              </c:numCache>
              <c:extLst/>
            </c:numRef>
          </c:val>
          <c:smooth val="0"/>
          <c:extLst>
            <c:ext xmlns:c16="http://schemas.microsoft.com/office/drawing/2014/chart" uri="{C3380CC4-5D6E-409C-BE32-E72D297353CC}">
              <c16:uniqueId val="{00000001-AF5A-4A55-95DA-94174E072BEB}"/>
            </c:ext>
          </c:extLst>
        </c:ser>
        <c:ser>
          <c:idx val="2"/>
          <c:order val="2"/>
          <c:tx>
            <c:strRef>
              <c:f>'GK Cash Flow 2025'!$G$1</c:f>
              <c:strCache>
                <c:ptCount val="1"/>
                <c:pt idx="0">
                  <c:v>Tax Deferred</c:v>
                </c:pt>
              </c:strCache>
            </c:strRef>
          </c:tx>
          <c:spPr>
            <a:ln w="22225" cap="rnd">
              <a:solidFill>
                <a:schemeClr val="accent3"/>
              </a:solidFill>
            </a:ln>
            <a:effectLst>
              <a:glow rad="139700">
                <a:schemeClr val="accent3">
                  <a:satMod val="175000"/>
                  <a:alpha val="14000"/>
                </a:schemeClr>
              </a:glow>
            </a:effectLst>
          </c:spPr>
          <c:marker>
            <c:symbol val="none"/>
          </c:marker>
          <c:cat>
            <c:numRef>
              <c:f>'GK Cash Flow 2025'!$A$3:$A$54</c:f>
              <c:numCache>
                <c:formatCode>m/d/yyyy</c:formatCode>
                <c:ptCount val="52"/>
                <c:pt idx="0">
                  <c:v>45669</c:v>
                </c:pt>
                <c:pt idx="1">
                  <c:v>45676</c:v>
                </c:pt>
                <c:pt idx="2">
                  <c:v>45683</c:v>
                </c:pt>
                <c:pt idx="3">
                  <c:v>45690</c:v>
                </c:pt>
                <c:pt idx="4">
                  <c:v>45697</c:v>
                </c:pt>
                <c:pt idx="5">
                  <c:v>45704</c:v>
                </c:pt>
                <c:pt idx="6">
                  <c:v>45711</c:v>
                </c:pt>
                <c:pt idx="7">
                  <c:v>45718</c:v>
                </c:pt>
                <c:pt idx="8">
                  <c:v>45725</c:v>
                </c:pt>
                <c:pt idx="9">
                  <c:v>45732</c:v>
                </c:pt>
                <c:pt idx="10">
                  <c:v>45739</c:v>
                </c:pt>
                <c:pt idx="11">
                  <c:v>45746</c:v>
                </c:pt>
                <c:pt idx="12">
                  <c:v>45753</c:v>
                </c:pt>
                <c:pt idx="13">
                  <c:v>45760</c:v>
                </c:pt>
                <c:pt idx="14">
                  <c:v>45767</c:v>
                </c:pt>
                <c:pt idx="15">
                  <c:v>45774</c:v>
                </c:pt>
                <c:pt idx="16">
                  <c:v>45781</c:v>
                </c:pt>
                <c:pt idx="17">
                  <c:v>45788</c:v>
                </c:pt>
                <c:pt idx="18">
                  <c:v>45795</c:v>
                </c:pt>
                <c:pt idx="19">
                  <c:v>45802</c:v>
                </c:pt>
                <c:pt idx="20">
                  <c:v>45809</c:v>
                </c:pt>
                <c:pt idx="21">
                  <c:v>45816</c:v>
                </c:pt>
                <c:pt idx="22">
                  <c:v>45823</c:v>
                </c:pt>
                <c:pt idx="23">
                  <c:v>45830</c:v>
                </c:pt>
                <c:pt idx="24">
                  <c:v>45837</c:v>
                </c:pt>
                <c:pt idx="25">
                  <c:v>45844</c:v>
                </c:pt>
                <c:pt idx="26">
                  <c:v>45851</c:v>
                </c:pt>
                <c:pt idx="27">
                  <c:v>45858</c:v>
                </c:pt>
                <c:pt idx="28">
                  <c:v>45865</c:v>
                </c:pt>
                <c:pt idx="29">
                  <c:v>45872</c:v>
                </c:pt>
                <c:pt idx="30">
                  <c:v>45879</c:v>
                </c:pt>
                <c:pt idx="31">
                  <c:v>45886</c:v>
                </c:pt>
                <c:pt idx="32">
                  <c:v>45893</c:v>
                </c:pt>
                <c:pt idx="33">
                  <c:v>45900</c:v>
                </c:pt>
                <c:pt idx="34">
                  <c:v>45907</c:v>
                </c:pt>
                <c:pt idx="35">
                  <c:v>45914</c:v>
                </c:pt>
                <c:pt idx="36">
                  <c:v>45921</c:v>
                </c:pt>
                <c:pt idx="37">
                  <c:v>45928</c:v>
                </c:pt>
                <c:pt idx="38">
                  <c:v>45935</c:v>
                </c:pt>
                <c:pt idx="39">
                  <c:v>45942</c:v>
                </c:pt>
                <c:pt idx="40">
                  <c:v>45949</c:v>
                </c:pt>
                <c:pt idx="41">
                  <c:v>45956</c:v>
                </c:pt>
                <c:pt idx="42">
                  <c:v>45963</c:v>
                </c:pt>
                <c:pt idx="43">
                  <c:v>45970</c:v>
                </c:pt>
                <c:pt idx="44">
                  <c:v>45977</c:v>
                </c:pt>
                <c:pt idx="45">
                  <c:v>45984</c:v>
                </c:pt>
                <c:pt idx="46">
                  <c:v>45991</c:v>
                </c:pt>
                <c:pt idx="47">
                  <c:v>45998</c:v>
                </c:pt>
                <c:pt idx="48">
                  <c:v>46005</c:v>
                </c:pt>
                <c:pt idx="49">
                  <c:v>46012</c:v>
                </c:pt>
                <c:pt idx="50">
                  <c:v>46019</c:v>
                </c:pt>
                <c:pt idx="51">
                  <c:v>46022</c:v>
                </c:pt>
              </c:numCache>
              <c:extLst/>
            </c:numRef>
          </c:cat>
          <c:val>
            <c:numRef>
              <c:f>'GK Cash Flow 2025'!$G$2:$G$54</c:f>
              <c:numCache>
                <c:formatCode>0.000%</c:formatCode>
                <c:ptCount val="53"/>
                <c:pt idx="0">
                  <c:v>0.62027794480726695</c:v>
                </c:pt>
                <c:pt idx="1">
                  <c:v>0.62092649403885014</c:v>
                </c:pt>
                <c:pt idx="2">
                  <c:v>0.62209832206473525</c:v>
                </c:pt>
                <c:pt idx="3">
                  <c:v>0.62561506712402659</c:v>
                </c:pt>
                <c:pt idx="4">
                  <c:v>0.62648000488293953</c:v>
                </c:pt>
                <c:pt idx="5">
                  <c:v>0.62553534648747167</c:v>
                </c:pt>
                <c:pt idx="6">
                  <c:v>0.62601195816758004</c:v>
                </c:pt>
                <c:pt idx="7">
                  <c:v>0.62683764705949807</c:v>
                </c:pt>
                <c:pt idx="8">
                  <c:v>0.62539909135869576</c:v>
                </c:pt>
                <c:pt idx="9">
                  <c:v>0.62273611509482241</c:v>
                </c:pt>
                <c:pt idx="10">
                  <c:v>0.62129091619000076</c:v>
                </c:pt>
                <c:pt idx="11">
                  <c:v>0.62373119119176956</c:v>
                </c:pt>
                <c:pt idx="12">
                  <c:v>0.623795404719793</c:v>
                </c:pt>
                <c:pt idx="13">
                  <c:v>0.61906799448183236</c:v>
                </c:pt>
                <c:pt idx="14">
                  <c:v>0.62068296222542552</c:v>
                </c:pt>
                <c:pt idx="15">
                  <c:v>0.62436795328604289</c:v>
                </c:pt>
                <c:pt idx="16">
                  <c:v>0.62906115442196242</c:v>
                </c:pt>
                <c:pt idx="17">
                  <c:v>0.62716159330715149</c:v>
                </c:pt>
                <c:pt idx="18">
                  <c:v>0.63131867017253651</c:v>
                </c:pt>
                <c:pt idx="19">
                  <c:v>0.63442928144305499</c:v>
                </c:pt>
                <c:pt idx="20">
                  <c:v>0.63469522798957223</c:v>
                </c:pt>
                <c:pt idx="21">
                  <c:v>0.63649432062562528</c:v>
                </c:pt>
                <c:pt idx="22">
                  <c:v>0.63655904557973852</c:v>
                </c:pt>
                <c:pt idx="23">
                  <c:v>0.63693522232132016</c:v>
                </c:pt>
                <c:pt idx="24">
                  <c:v>0.6373360893501947</c:v>
                </c:pt>
                <c:pt idx="25">
                  <c:v>0.47333619340473587</c:v>
                </c:pt>
                <c:pt idx="26">
                  <c:v>0.47420395548068373</c:v>
                </c:pt>
                <c:pt idx="27">
                  <c:v>0.47401331587376533</c:v>
                </c:pt>
                <c:pt idx="28">
                  <c:v>0.47434041489809192</c:v>
                </c:pt>
                <c:pt idx="29">
                  <c:v>0.47651127734806498</c:v>
                </c:pt>
                <c:pt idx="30">
                  <c:v>0.47532652252871549</c:v>
                </c:pt>
                <c:pt idx="31">
                  <c:v>0.47711078421246544</c:v>
                </c:pt>
                <c:pt idx="32">
                  <c:v>0.47827955772411607</c:v>
                </c:pt>
                <c:pt idx="33">
                  <c:v>0.4806082866472477</c:v>
                </c:pt>
                <c:pt idx="34">
                  <c:v>0.48177450527453064</c:v>
                </c:pt>
                <c:pt idx="35">
                  <c:v>0.48177677967513227</c:v>
                </c:pt>
                <c:pt idx="36">
                  <c:v>0.48292546731145108</c:v>
                </c:pt>
                <c:pt idx="37">
                  <c:v>0.48347543008187144</c:v>
                </c:pt>
                <c:pt idx="38">
                  <c:v>0.48484350493933936</c:v>
                </c:pt>
                <c:pt idx="39">
                  <c:v>0.48576862064457699</c:v>
                </c:pt>
                <c:pt idx="40">
                  <c:v>0.48506071640215359</c:v>
                </c:pt>
                <c:pt idx="41">
                  <c:v>0.48457741420991024</c:v>
                </c:pt>
                <c:pt idx="42">
                  <c:v>0.48666533242300519</c:v>
                </c:pt>
                <c:pt idx="43">
                  <c:v>0.4866701785837646</c:v>
                </c:pt>
                <c:pt idx="44">
                  <c:v>0.48540285240518727</c:v>
                </c:pt>
                <c:pt idx="45">
                  <c:v>0.48624142329878678</c:v>
                </c:pt>
                <c:pt idx="46">
                  <c:v>0.48480588835269328</c:v>
                </c:pt>
                <c:pt idx="47">
                  <c:v>0.48921483357633549</c:v>
                </c:pt>
                <c:pt idx="48">
                  <c:v>0.49085103617034437</c:v>
                </c:pt>
                <c:pt idx="49">
                  <c:v>0.49164889696066127</c:v>
                </c:pt>
                <c:pt idx="50">
                  <c:v>0.49040735945910224</c:v>
                </c:pt>
                <c:pt idx="51">
                  <c:v>0.4920990073951238</c:v>
                </c:pt>
                <c:pt idx="52">
                  <c:v>0.4912846372073485</c:v>
                </c:pt>
              </c:numCache>
              <c:extLst/>
            </c:numRef>
          </c:val>
          <c:smooth val="0"/>
          <c:extLst>
            <c:ext xmlns:c16="http://schemas.microsoft.com/office/drawing/2014/chart" uri="{C3380CC4-5D6E-409C-BE32-E72D297353CC}">
              <c16:uniqueId val="{00000002-AF5A-4A55-95DA-94174E072BEB}"/>
            </c:ext>
          </c:extLst>
        </c:ser>
        <c:ser>
          <c:idx val="3"/>
          <c:order val="3"/>
          <c:tx>
            <c:strRef>
              <c:f>'GK Cash Flow 2025'!$I$1</c:f>
              <c:strCache>
                <c:ptCount val="1"/>
                <c:pt idx="0">
                  <c:v>Cash</c:v>
                </c:pt>
              </c:strCache>
            </c:strRef>
          </c:tx>
          <c:spPr>
            <a:ln w="22225" cap="rnd">
              <a:solidFill>
                <a:schemeClr val="accent4"/>
              </a:solidFill>
            </a:ln>
            <a:effectLst>
              <a:glow rad="139700">
                <a:schemeClr val="accent4">
                  <a:satMod val="175000"/>
                  <a:alpha val="14000"/>
                </a:schemeClr>
              </a:glow>
            </a:effectLst>
          </c:spPr>
          <c:marker>
            <c:symbol val="none"/>
          </c:marker>
          <c:cat>
            <c:numRef>
              <c:f>'GK Cash Flow 2025'!$A$3:$A$54</c:f>
              <c:numCache>
                <c:formatCode>m/d/yyyy</c:formatCode>
                <c:ptCount val="52"/>
                <c:pt idx="0">
                  <c:v>45669</c:v>
                </c:pt>
                <c:pt idx="1">
                  <c:v>45676</c:v>
                </c:pt>
                <c:pt idx="2">
                  <c:v>45683</c:v>
                </c:pt>
                <c:pt idx="3">
                  <c:v>45690</c:v>
                </c:pt>
                <c:pt idx="4">
                  <c:v>45697</c:v>
                </c:pt>
                <c:pt idx="5">
                  <c:v>45704</c:v>
                </c:pt>
                <c:pt idx="6">
                  <c:v>45711</c:v>
                </c:pt>
                <c:pt idx="7">
                  <c:v>45718</c:v>
                </c:pt>
                <c:pt idx="8">
                  <c:v>45725</c:v>
                </c:pt>
                <c:pt idx="9">
                  <c:v>45732</c:v>
                </c:pt>
                <c:pt idx="10">
                  <c:v>45739</c:v>
                </c:pt>
                <c:pt idx="11">
                  <c:v>45746</c:v>
                </c:pt>
                <c:pt idx="12">
                  <c:v>45753</c:v>
                </c:pt>
                <c:pt idx="13">
                  <c:v>45760</c:v>
                </c:pt>
                <c:pt idx="14">
                  <c:v>45767</c:v>
                </c:pt>
                <c:pt idx="15">
                  <c:v>45774</c:v>
                </c:pt>
                <c:pt idx="16">
                  <c:v>45781</c:v>
                </c:pt>
                <c:pt idx="17">
                  <c:v>45788</c:v>
                </c:pt>
                <c:pt idx="18">
                  <c:v>45795</c:v>
                </c:pt>
                <c:pt idx="19">
                  <c:v>45802</c:v>
                </c:pt>
                <c:pt idx="20">
                  <c:v>45809</c:v>
                </c:pt>
                <c:pt idx="21">
                  <c:v>45816</c:v>
                </c:pt>
                <c:pt idx="22">
                  <c:v>45823</c:v>
                </c:pt>
                <c:pt idx="23">
                  <c:v>45830</c:v>
                </c:pt>
                <c:pt idx="24">
                  <c:v>45837</c:v>
                </c:pt>
                <c:pt idx="25">
                  <c:v>45844</c:v>
                </c:pt>
                <c:pt idx="26">
                  <c:v>45851</c:v>
                </c:pt>
                <c:pt idx="27">
                  <c:v>45858</c:v>
                </c:pt>
                <c:pt idx="28">
                  <c:v>45865</c:v>
                </c:pt>
                <c:pt idx="29">
                  <c:v>45872</c:v>
                </c:pt>
                <c:pt idx="30">
                  <c:v>45879</c:v>
                </c:pt>
                <c:pt idx="31">
                  <c:v>45886</c:v>
                </c:pt>
                <c:pt idx="32">
                  <c:v>45893</c:v>
                </c:pt>
                <c:pt idx="33">
                  <c:v>45900</c:v>
                </c:pt>
                <c:pt idx="34">
                  <c:v>45907</c:v>
                </c:pt>
                <c:pt idx="35">
                  <c:v>45914</c:v>
                </c:pt>
                <c:pt idx="36">
                  <c:v>45921</c:v>
                </c:pt>
                <c:pt idx="37">
                  <c:v>45928</c:v>
                </c:pt>
                <c:pt idx="38">
                  <c:v>45935</c:v>
                </c:pt>
                <c:pt idx="39">
                  <c:v>45942</c:v>
                </c:pt>
                <c:pt idx="40">
                  <c:v>45949</c:v>
                </c:pt>
                <c:pt idx="41">
                  <c:v>45956</c:v>
                </c:pt>
                <c:pt idx="42">
                  <c:v>45963</c:v>
                </c:pt>
                <c:pt idx="43">
                  <c:v>45970</c:v>
                </c:pt>
                <c:pt idx="44">
                  <c:v>45977</c:v>
                </c:pt>
                <c:pt idx="45">
                  <c:v>45984</c:v>
                </c:pt>
                <c:pt idx="46">
                  <c:v>45991</c:v>
                </c:pt>
                <c:pt idx="47">
                  <c:v>45998</c:v>
                </c:pt>
                <c:pt idx="48">
                  <c:v>46005</c:v>
                </c:pt>
                <c:pt idx="49">
                  <c:v>46012</c:v>
                </c:pt>
                <c:pt idx="50">
                  <c:v>46019</c:v>
                </c:pt>
                <c:pt idx="51">
                  <c:v>46022</c:v>
                </c:pt>
              </c:numCache>
              <c:extLst/>
            </c:numRef>
          </c:cat>
          <c:val>
            <c:numRef>
              <c:f>'GK Cash Flow 2025'!$I$2:$I$54</c:f>
              <c:numCache>
                <c:formatCode>0.000%</c:formatCode>
                <c:ptCount val="53"/>
                <c:pt idx="0">
                  <c:v>8.3564735426643222E-2</c:v>
                </c:pt>
                <c:pt idx="1">
                  <c:v>8.4074474974374175E-2</c:v>
                </c:pt>
                <c:pt idx="2">
                  <c:v>8.284873864528107E-2</c:v>
                </c:pt>
                <c:pt idx="3">
                  <c:v>7.7694827518311929E-2</c:v>
                </c:pt>
                <c:pt idx="4">
                  <c:v>7.7396118573438519E-2</c:v>
                </c:pt>
                <c:pt idx="5">
                  <c:v>7.7590184163886841E-2</c:v>
                </c:pt>
                <c:pt idx="6">
                  <c:v>7.6573199046707716E-2</c:v>
                </c:pt>
                <c:pt idx="7">
                  <c:v>7.6918971655654755E-2</c:v>
                </c:pt>
                <c:pt idx="8">
                  <c:v>7.4756404502873269E-2</c:v>
                </c:pt>
                <c:pt idx="9">
                  <c:v>7.6065038788062117E-2</c:v>
                </c:pt>
                <c:pt idx="10">
                  <c:v>7.7202119152825946E-2</c:v>
                </c:pt>
                <c:pt idx="11">
                  <c:v>7.4769868607584292E-2</c:v>
                </c:pt>
                <c:pt idx="12">
                  <c:v>7.4471827831241885E-2</c:v>
                </c:pt>
                <c:pt idx="13">
                  <c:v>7.9614861600885767E-2</c:v>
                </c:pt>
                <c:pt idx="14">
                  <c:v>7.3357634666202473E-2</c:v>
                </c:pt>
                <c:pt idx="15">
                  <c:v>7.2400784652887851E-2</c:v>
                </c:pt>
                <c:pt idx="16">
                  <c:v>6.6622521431516743E-2</c:v>
                </c:pt>
                <c:pt idx="17">
                  <c:v>6.5133861430807113E-2</c:v>
                </c:pt>
                <c:pt idx="18">
                  <c:v>6.4572847260051691E-2</c:v>
                </c:pt>
                <c:pt idx="19">
                  <c:v>6.0577612250442593E-2</c:v>
                </c:pt>
                <c:pt idx="20">
                  <c:v>6.0037484245398266E-2</c:v>
                </c:pt>
                <c:pt idx="21">
                  <c:v>5.8363631428484525E-2</c:v>
                </c:pt>
                <c:pt idx="22">
                  <c:v>5.7749183634513056E-2</c:v>
                </c:pt>
                <c:pt idx="23">
                  <c:v>5.6251563656749923E-2</c:v>
                </c:pt>
                <c:pt idx="24">
                  <c:v>5.6450345489716433E-2</c:v>
                </c:pt>
                <c:pt idx="25">
                  <c:v>0.1133436308415508</c:v>
                </c:pt>
                <c:pt idx="26">
                  <c:v>0.11213881402861971</c:v>
                </c:pt>
                <c:pt idx="27">
                  <c:v>0.11254598442570315</c:v>
                </c:pt>
                <c:pt idx="28">
                  <c:v>0.11205455367458098</c:v>
                </c:pt>
                <c:pt idx="29">
                  <c:v>0.10778626841394999</c:v>
                </c:pt>
                <c:pt idx="30">
                  <c:v>0.10985888332956237</c:v>
                </c:pt>
                <c:pt idx="31">
                  <c:v>0.10683315117105424</c:v>
                </c:pt>
                <c:pt idx="32">
                  <c:v>0.105694784617858</c:v>
                </c:pt>
                <c:pt idx="33">
                  <c:v>0.10089171183327028</c:v>
                </c:pt>
                <c:pt idx="34">
                  <c:v>9.966678493886412E-2</c:v>
                </c:pt>
                <c:pt idx="35">
                  <c:v>9.9506589334471693E-2</c:v>
                </c:pt>
                <c:pt idx="36">
                  <c:v>9.6716705548763035E-2</c:v>
                </c:pt>
                <c:pt idx="37">
                  <c:v>9.5895588659712719E-2</c:v>
                </c:pt>
                <c:pt idx="38">
                  <c:v>9.2824548152522696E-2</c:v>
                </c:pt>
                <c:pt idx="39">
                  <c:v>9.0936522542350656E-2</c:v>
                </c:pt>
                <c:pt idx="40">
                  <c:v>9.3140768440219929E-2</c:v>
                </c:pt>
                <c:pt idx="41">
                  <c:v>9.1526842083497054E-2</c:v>
                </c:pt>
                <c:pt idx="42">
                  <c:v>8.8367325685930129E-2</c:v>
                </c:pt>
                <c:pt idx="43">
                  <c:v>8.7903064572710563E-2</c:v>
                </c:pt>
                <c:pt idx="44">
                  <c:v>8.9089046292654045E-2</c:v>
                </c:pt>
                <c:pt idx="45">
                  <c:v>8.8767688885555723E-2</c:v>
                </c:pt>
                <c:pt idx="46">
                  <c:v>8.9286079887208464E-2</c:v>
                </c:pt>
                <c:pt idx="47">
                  <c:v>8.4554625034038614E-2</c:v>
                </c:pt>
                <c:pt idx="48">
                  <c:v>8.3382278364800402E-2</c:v>
                </c:pt>
                <c:pt idx="49">
                  <c:v>8.3578074678770362E-2</c:v>
                </c:pt>
                <c:pt idx="50">
                  <c:v>8.567847295738891E-2</c:v>
                </c:pt>
                <c:pt idx="51">
                  <c:v>8.1416673455655897E-2</c:v>
                </c:pt>
                <c:pt idx="52">
                  <c:v>8.2117968386828125E-2</c:v>
                </c:pt>
              </c:numCache>
              <c:extLst/>
            </c:numRef>
          </c:val>
          <c:smooth val="0"/>
          <c:extLst>
            <c:ext xmlns:c16="http://schemas.microsoft.com/office/drawing/2014/chart" uri="{C3380CC4-5D6E-409C-BE32-E72D297353CC}">
              <c16:uniqueId val="{00000003-AF5A-4A55-95DA-94174E072BEB}"/>
            </c:ext>
          </c:extLst>
        </c:ser>
        <c:dLbls>
          <c:showLegendKey val="0"/>
          <c:showVal val="0"/>
          <c:showCatName val="0"/>
          <c:showSerName val="0"/>
          <c:showPercent val="0"/>
          <c:showBubbleSize val="0"/>
        </c:dLbls>
        <c:smooth val="0"/>
        <c:axId val="1632112896"/>
        <c:axId val="1632102816"/>
      </c:lineChart>
      <c:dateAx>
        <c:axId val="1632112896"/>
        <c:scaling>
          <c:orientation val="minMax"/>
        </c:scaling>
        <c:delete val="0"/>
        <c:axPos val="b"/>
        <c:numFmt formatCode="m/d/yyyy"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632102816"/>
        <c:crosses val="autoZero"/>
        <c:auto val="1"/>
        <c:lblOffset val="100"/>
        <c:baseTimeUnit val="days"/>
      </c:dateAx>
      <c:valAx>
        <c:axId val="1632102816"/>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63211289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span"/>
    <c:showDLblsOverMax val="0"/>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Percent Withdrawn</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lineChart>
        <c:grouping val="standard"/>
        <c:varyColors val="0"/>
        <c:ser>
          <c:idx val="0"/>
          <c:order val="0"/>
          <c:tx>
            <c:strRef>
              <c:f>'GK Cash Flow 2025'!$O$1</c:f>
              <c:strCache>
                <c:ptCount val="1"/>
                <c:pt idx="0">
                  <c:v>Inflated Withdrawal</c:v>
                </c:pt>
              </c:strCache>
            </c:strRef>
          </c:tx>
          <c:spPr>
            <a:ln w="22225" cap="rnd">
              <a:solidFill>
                <a:schemeClr val="accent1"/>
              </a:solidFill>
            </a:ln>
            <a:effectLst>
              <a:glow rad="139700">
                <a:schemeClr val="accent1">
                  <a:satMod val="175000"/>
                  <a:alpha val="14000"/>
                </a:schemeClr>
              </a:glow>
            </a:effectLst>
          </c:spPr>
          <c:marker>
            <c:symbol val="none"/>
          </c:marker>
          <c:cat>
            <c:numRef>
              <c:f>'GK Cash Flow 2025'!$A$2:$A$54</c:f>
              <c:numCache>
                <c:formatCode>m/d/yyyy</c:formatCode>
                <c:ptCount val="53"/>
                <c:pt idx="0">
                  <c:v>45662</c:v>
                </c:pt>
                <c:pt idx="1">
                  <c:v>45669</c:v>
                </c:pt>
                <c:pt idx="2">
                  <c:v>45676</c:v>
                </c:pt>
                <c:pt idx="3">
                  <c:v>45683</c:v>
                </c:pt>
                <c:pt idx="4">
                  <c:v>45690</c:v>
                </c:pt>
                <c:pt idx="5">
                  <c:v>45697</c:v>
                </c:pt>
                <c:pt idx="6">
                  <c:v>45704</c:v>
                </c:pt>
                <c:pt idx="7">
                  <c:v>45711</c:v>
                </c:pt>
                <c:pt idx="8">
                  <c:v>45718</c:v>
                </c:pt>
                <c:pt idx="9">
                  <c:v>45725</c:v>
                </c:pt>
                <c:pt idx="10">
                  <c:v>45732</c:v>
                </c:pt>
                <c:pt idx="11">
                  <c:v>45739</c:v>
                </c:pt>
                <c:pt idx="12">
                  <c:v>45746</c:v>
                </c:pt>
                <c:pt idx="13">
                  <c:v>45753</c:v>
                </c:pt>
                <c:pt idx="14">
                  <c:v>45760</c:v>
                </c:pt>
                <c:pt idx="15">
                  <c:v>45767</c:v>
                </c:pt>
                <c:pt idx="16">
                  <c:v>45774</c:v>
                </c:pt>
                <c:pt idx="17">
                  <c:v>45781</c:v>
                </c:pt>
                <c:pt idx="18">
                  <c:v>45788</c:v>
                </c:pt>
                <c:pt idx="19">
                  <c:v>45795</c:v>
                </c:pt>
                <c:pt idx="20">
                  <c:v>45802</c:v>
                </c:pt>
                <c:pt idx="21">
                  <c:v>45809</c:v>
                </c:pt>
                <c:pt idx="22">
                  <c:v>45816</c:v>
                </c:pt>
                <c:pt idx="23">
                  <c:v>45823</c:v>
                </c:pt>
                <c:pt idx="24">
                  <c:v>45830</c:v>
                </c:pt>
                <c:pt idx="25">
                  <c:v>45837</c:v>
                </c:pt>
                <c:pt idx="26">
                  <c:v>45844</c:v>
                </c:pt>
                <c:pt idx="27">
                  <c:v>45851</c:v>
                </c:pt>
                <c:pt idx="28">
                  <c:v>45858</c:v>
                </c:pt>
                <c:pt idx="29">
                  <c:v>45865</c:v>
                </c:pt>
                <c:pt idx="30">
                  <c:v>45872</c:v>
                </c:pt>
                <c:pt idx="31">
                  <c:v>45879</c:v>
                </c:pt>
                <c:pt idx="32">
                  <c:v>45886</c:v>
                </c:pt>
                <c:pt idx="33">
                  <c:v>45893</c:v>
                </c:pt>
                <c:pt idx="34">
                  <c:v>45900</c:v>
                </c:pt>
                <c:pt idx="35">
                  <c:v>45907</c:v>
                </c:pt>
                <c:pt idx="36">
                  <c:v>45914</c:v>
                </c:pt>
                <c:pt idx="37">
                  <c:v>45921</c:v>
                </c:pt>
                <c:pt idx="38">
                  <c:v>45928</c:v>
                </c:pt>
                <c:pt idx="39">
                  <c:v>45935</c:v>
                </c:pt>
                <c:pt idx="40">
                  <c:v>45942</c:v>
                </c:pt>
                <c:pt idx="41">
                  <c:v>45949</c:v>
                </c:pt>
                <c:pt idx="42">
                  <c:v>45956</c:v>
                </c:pt>
                <c:pt idx="43">
                  <c:v>45963</c:v>
                </c:pt>
                <c:pt idx="44">
                  <c:v>45970</c:v>
                </c:pt>
                <c:pt idx="45">
                  <c:v>45977</c:v>
                </c:pt>
                <c:pt idx="46">
                  <c:v>45984</c:v>
                </c:pt>
                <c:pt idx="47">
                  <c:v>45991</c:v>
                </c:pt>
                <c:pt idx="48">
                  <c:v>45998</c:v>
                </c:pt>
                <c:pt idx="49">
                  <c:v>46005</c:v>
                </c:pt>
                <c:pt idx="50">
                  <c:v>46012</c:v>
                </c:pt>
                <c:pt idx="51">
                  <c:v>46019</c:v>
                </c:pt>
                <c:pt idx="52">
                  <c:v>46022</c:v>
                </c:pt>
              </c:numCache>
            </c:numRef>
          </c:cat>
          <c:val>
            <c:numRef>
              <c:f>'GK Cash Flow 2025'!$O$2:$O$54</c:f>
              <c:numCache>
                <c:formatCode>0.000%</c:formatCode>
                <c:ptCount val="53"/>
                <c:pt idx="0">
                  <c:v>5.131903997970718E-2</c:v>
                </c:pt>
                <c:pt idx="1">
                  <c:v>5.1306210219712253E-2</c:v>
                </c:pt>
                <c:pt idx="2">
                  <c:v>5.1293383667157327E-2</c:v>
                </c:pt>
                <c:pt idx="3">
                  <c:v>5.1280560321240537E-2</c:v>
                </c:pt>
                <c:pt idx="4">
                  <c:v>5.1267740181160225E-2</c:v>
                </c:pt>
                <c:pt idx="5">
                  <c:v>5.1254923246114935E-2</c:v>
                </c:pt>
                <c:pt idx="6">
                  <c:v>5.1344619361795629E-2</c:v>
                </c:pt>
                <c:pt idx="7">
                  <c:v>5.1434472445678767E-2</c:v>
                </c:pt>
                <c:pt idx="8">
                  <c:v>5.1524482772458698E-2</c:v>
                </c:pt>
                <c:pt idx="9">
                  <c:v>5.1614650617310499E-2</c:v>
                </c:pt>
                <c:pt idx="10">
                  <c:v>5.1655942337804343E-2</c:v>
                </c:pt>
                <c:pt idx="11">
                  <c:v>5.1697267091674583E-2</c:v>
                </c:pt>
                <c:pt idx="12">
                  <c:v>5.1738624905347919E-2</c:v>
                </c:pt>
                <c:pt idx="13">
                  <c:v>5.1780015805272195E-2</c:v>
                </c:pt>
                <c:pt idx="14">
                  <c:v>5.1821439817916405E-2</c:v>
                </c:pt>
                <c:pt idx="15">
                  <c:v>5.184216839384357E-2</c:v>
                </c:pt>
                <c:pt idx="16">
                  <c:v>5.1862905261201103E-2</c:v>
                </c:pt>
                <c:pt idx="17">
                  <c:v>5.1883650423305581E-2</c:v>
                </c:pt>
                <c:pt idx="18">
                  <c:v>5.1904403883474899E-2</c:v>
                </c:pt>
                <c:pt idx="19">
                  <c:v>5.192516564502829E-2</c:v>
                </c:pt>
                <c:pt idx="20">
                  <c:v>5.1956320744415301E-2</c:v>
                </c:pt>
                <c:pt idx="21">
                  <c:v>5.1987494536861946E-2</c:v>
                </c:pt>
                <c:pt idx="22">
                  <c:v>5.201868703358406E-2</c:v>
                </c:pt>
                <c:pt idx="23">
                  <c:v>5.2039494508397489E-2</c:v>
                </c:pt>
                <c:pt idx="24">
                  <c:v>5.2060310306200848E-2</c:v>
                </c:pt>
                <c:pt idx="25">
                  <c:v>5.2081134430323327E-2</c:v>
                </c:pt>
                <c:pt idx="26">
                  <c:v>5.2101966884095456E-2</c:v>
                </c:pt>
                <c:pt idx="27">
                  <c:v>5.2122807670849092E-2</c:v>
                </c:pt>
                <c:pt idx="28">
                  <c:v>5.2154081355451597E-2</c:v>
                </c:pt>
                <c:pt idx="29">
                  <c:v>5.2185373804264863E-2</c:v>
                </c:pt>
                <c:pt idx="30">
                  <c:v>5.221668502854742E-2</c:v>
                </c:pt>
                <c:pt idx="31">
                  <c:v>5.2248015039564548E-2</c:v>
                </c:pt>
                <c:pt idx="32">
                  <c:v>5.2274139047084327E-2</c:v>
                </c:pt>
                <c:pt idx="33">
                  <c:v>5.2300276116607869E-2</c:v>
                </c:pt>
                <c:pt idx="34">
                  <c:v>5.2326426254666172E-2</c:v>
                </c:pt>
                <c:pt idx="35">
                  <c:v>5.2352589467793503E-2</c:v>
                </c:pt>
                <c:pt idx="36">
                  <c:v>5.2378765762527396E-2</c:v>
                </c:pt>
                <c:pt idx="37">
                  <c:v>5.240495514540866E-2</c:v>
                </c:pt>
                <c:pt idx="38">
                  <c:v>5.243115762298136E-2</c:v>
                </c:pt>
                <c:pt idx="39">
                  <c:v>5.2457373201792848E-2</c:v>
                </c:pt>
                <c:pt idx="40">
                  <c:v>5.2483601888393738E-2</c:v>
                </c:pt>
                <c:pt idx="41">
                  <c:v>5.2509843689337934E-2</c:v>
                </c:pt>
                <c:pt idx="42">
                  <c:v>5.2536098611182601E-2</c:v>
                </c:pt>
                <c:pt idx="43">
                  <c:v>5.2562366660488191E-2</c:v>
                </c:pt>
                <c:pt idx="44">
                  <c:v>5.2588647843818434E-2</c:v>
                </c:pt>
                <c:pt idx="45">
                  <c:v>5.261494216774034E-2</c:v>
                </c:pt>
                <c:pt idx="46">
                  <c:v>5.264124963882421E-2</c:v>
                </c:pt>
                <c:pt idx="47">
                  <c:v>5.2667570263643618E-2</c:v>
                </c:pt>
                <c:pt idx="48">
                  <c:v>5.271145990552998E-2</c:v>
                </c:pt>
                <c:pt idx="49">
                  <c:v>5.2755386122117914E-2</c:v>
                </c:pt>
                <c:pt idx="50">
                  <c:v>5.279934894388634E-2</c:v>
                </c:pt>
                <c:pt idx="51">
                  <c:v>5.2843348401339571E-2</c:v>
                </c:pt>
                <c:pt idx="52">
                  <c:v>5.2887384525007346E-2</c:v>
                </c:pt>
              </c:numCache>
            </c:numRef>
          </c:val>
          <c:smooth val="0"/>
          <c:extLst>
            <c:ext xmlns:c16="http://schemas.microsoft.com/office/drawing/2014/chart" uri="{C3380CC4-5D6E-409C-BE32-E72D297353CC}">
              <c16:uniqueId val="{00000000-7361-4688-B22A-17DF451874B1}"/>
            </c:ext>
          </c:extLst>
        </c:ser>
        <c:ser>
          <c:idx val="1"/>
          <c:order val="1"/>
          <c:tx>
            <c:strRef>
              <c:f>'GK Cash Flow 2025'!$X$1</c:f>
              <c:strCache>
                <c:ptCount val="1"/>
                <c:pt idx="0">
                  <c:v>Guyton Klinger Adjustment</c:v>
                </c:pt>
              </c:strCache>
            </c:strRef>
          </c:tx>
          <c:spPr>
            <a:ln w="22225" cap="rnd">
              <a:solidFill>
                <a:schemeClr val="accent2"/>
              </a:solidFill>
            </a:ln>
            <a:effectLst>
              <a:glow rad="139700">
                <a:schemeClr val="accent2">
                  <a:satMod val="175000"/>
                  <a:alpha val="14000"/>
                </a:schemeClr>
              </a:glow>
            </a:effectLst>
          </c:spPr>
          <c:marker>
            <c:symbol val="none"/>
          </c:marker>
          <c:cat>
            <c:numRef>
              <c:f>'GK Cash Flow 2025'!$A$2:$A$54</c:f>
              <c:numCache>
                <c:formatCode>m/d/yyyy</c:formatCode>
                <c:ptCount val="53"/>
                <c:pt idx="0">
                  <c:v>45662</c:v>
                </c:pt>
                <c:pt idx="1">
                  <c:v>45669</c:v>
                </c:pt>
                <c:pt idx="2">
                  <c:v>45676</c:v>
                </c:pt>
                <c:pt idx="3">
                  <c:v>45683</c:v>
                </c:pt>
                <c:pt idx="4">
                  <c:v>45690</c:v>
                </c:pt>
                <c:pt idx="5">
                  <c:v>45697</c:v>
                </c:pt>
                <c:pt idx="6">
                  <c:v>45704</c:v>
                </c:pt>
                <c:pt idx="7">
                  <c:v>45711</c:v>
                </c:pt>
                <c:pt idx="8">
                  <c:v>45718</c:v>
                </c:pt>
                <c:pt idx="9">
                  <c:v>45725</c:v>
                </c:pt>
                <c:pt idx="10">
                  <c:v>45732</c:v>
                </c:pt>
                <c:pt idx="11">
                  <c:v>45739</c:v>
                </c:pt>
                <c:pt idx="12">
                  <c:v>45746</c:v>
                </c:pt>
                <c:pt idx="13">
                  <c:v>45753</c:v>
                </c:pt>
                <c:pt idx="14">
                  <c:v>45760</c:v>
                </c:pt>
                <c:pt idx="15">
                  <c:v>45767</c:v>
                </c:pt>
                <c:pt idx="16">
                  <c:v>45774</c:v>
                </c:pt>
                <c:pt idx="17">
                  <c:v>45781</c:v>
                </c:pt>
                <c:pt idx="18">
                  <c:v>45788</c:v>
                </c:pt>
                <c:pt idx="19">
                  <c:v>45795</c:v>
                </c:pt>
                <c:pt idx="20">
                  <c:v>45802</c:v>
                </c:pt>
                <c:pt idx="21">
                  <c:v>45809</c:v>
                </c:pt>
                <c:pt idx="22">
                  <c:v>45816</c:v>
                </c:pt>
                <c:pt idx="23">
                  <c:v>45823</c:v>
                </c:pt>
                <c:pt idx="24">
                  <c:v>45830</c:v>
                </c:pt>
                <c:pt idx="25">
                  <c:v>45837</c:v>
                </c:pt>
                <c:pt idx="26">
                  <c:v>45844</c:v>
                </c:pt>
                <c:pt idx="27">
                  <c:v>45851</c:v>
                </c:pt>
                <c:pt idx="28">
                  <c:v>45858</c:v>
                </c:pt>
                <c:pt idx="29">
                  <c:v>45865</c:v>
                </c:pt>
                <c:pt idx="30">
                  <c:v>45872</c:v>
                </c:pt>
                <c:pt idx="31">
                  <c:v>45879</c:v>
                </c:pt>
                <c:pt idx="32">
                  <c:v>45886</c:v>
                </c:pt>
                <c:pt idx="33">
                  <c:v>45893</c:v>
                </c:pt>
                <c:pt idx="34">
                  <c:v>45900</c:v>
                </c:pt>
                <c:pt idx="35">
                  <c:v>45907</c:v>
                </c:pt>
                <c:pt idx="36">
                  <c:v>45914</c:v>
                </c:pt>
                <c:pt idx="37">
                  <c:v>45921</c:v>
                </c:pt>
                <c:pt idx="38">
                  <c:v>45928</c:v>
                </c:pt>
                <c:pt idx="39">
                  <c:v>45935</c:v>
                </c:pt>
                <c:pt idx="40">
                  <c:v>45942</c:v>
                </c:pt>
                <c:pt idx="41">
                  <c:v>45949</c:v>
                </c:pt>
                <c:pt idx="42">
                  <c:v>45956</c:v>
                </c:pt>
                <c:pt idx="43">
                  <c:v>45963</c:v>
                </c:pt>
                <c:pt idx="44">
                  <c:v>45970</c:v>
                </c:pt>
                <c:pt idx="45">
                  <c:v>45977</c:v>
                </c:pt>
                <c:pt idx="46">
                  <c:v>45984</c:v>
                </c:pt>
                <c:pt idx="47">
                  <c:v>45991</c:v>
                </c:pt>
                <c:pt idx="48">
                  <c:v>45998</c:v>
                </c:pt>
                <c:pt idx="49">
                  <c:v>46005</c:v>
                </c:pt>
                <c:pt idx="50">
                  <c:v>46012</c:v>
                </c:pt>
                <c:pt idx="51">
                  <c:v>46019</c:v>
                </c:pt>
                <c:pt idx="52">
                  <c:v>46022</c:v>
                </c:pt>
              </c:numCache>
            </c:numRef>
          </c:cat>
          <c:val>
            <c:numRef>
              <c:f>'GK Cash Flow 2025'!$X$2:$X$54</c:f>
              <c:numCache>
                <c:formatCode>0.000%</c:formatCode>
                <c:ptCount val="53"/>
                <c:pt idx="0">
                  <c:v>5.131903997970718E-2</c:v>
                </c:pt>
                <c:pt idx="1">
                  <c:v>5.1306210219712253E-2</c:v>
                </c:pt>
                <c:pt idx="2">
                  <c:v>5.1293383667157327E-2</c:v>
                </c:pt>
                <c:pt idx="3">
                  <c:v>5.1280560321240537E-2</c:v>
                </c:pt>
                <c:pt idx="4">
                  <c:v>5.1267740181160225E-2</c:v>
                </c:pt>
                <c:pt idx="5">
                  <c:v>5.1254923246114935E-2</c:v>
                </c:pt>
                <c:pt idx="6">
                  <c:v>5.1344619361795629E-2</c:v>
                </c:pt>
                <c:pt idx="7">
                  <c:v>5.1434472445678767E-2</c:v>
                </c:pt>
                <c:pt idx="8">
                  <c:v>5.1524482772458698E-2</c:v>
                </c:pt>
                <c:pt idx="9">
                  <c:v>5.1614650617310499E-2</c:v>
                </c:pt>
                <c:pt idx="10">
                  <c:v>5.1655942337804343E-2</c:v>
                </c:pt>
                <c:pt idx="11">
                  <c:v>5.1697267091674583E-2</c:v>
                </c:pt>
                <c:pt idx="12">
                  <c:v>5.1738624905347919E-2</c:v>
                </c:pt>
                <c:pt idx="13">
                  <c:v>5.1780015805272195E-2</c:v>
                </c:pt>
                <c:pt idx="14">
                  <c:v>5.1821439817916405E-2</c:v>
                </c:pt>
                <c:pt idx="15">
                  <c:v>5.184216839384357E-2</c:v>
                </c:pt>
                <c:pt idx="16">
                  <c:v>5.1862905261201103E-2</c:v>
                </c:pt>
                <c:pt idx="17">
                  <c:v>5.1883650423305581E-2</c:v>
                </c:pt>
                <c:pt idx="18">
                  <c:v>5.1904403883474899E-2</c:v>
                </c:pt>
                <c:pt idx="19">
                  <c:v>5.192516564502829E-2</c:v>
                </c:pt>
                <c:pt idx="20">
                  <c:v>5.1956320744415301E-2</c:v>
                </c:pt>
                <c:pt idx="21">
                  <c:v>5.1987494536861946E-2</c:v>
                </c:pt>
                <c:pt idx="22">
                  <c:v>5.201868703358406E-2</c:v>
                </c:pt>
                <c:pt idx="23">
                  <c:v>5.2039494508397489E-2</c:v>
                </c:pt>
                <c:pt idx="24">
                  <c:v>5.2060310306200848E-2</c:v>
                </c:pt>
                <c:pt idx="25">
                  <c:v>5.2081134430323327E-2</c:v>
                </c:pt>
                <c:pt idx="26">
                  <c:v>5.2101966884095456E-2</c:v>
                </c:pt>
                <c:pt idx="27">
                  <c:v>5.2122807670849092E-2</c:v>
                </c:pt>
                <c:pt idx="28">
                  <c:v>5.2154081355451597E-2</c:v>
                </c:pt>
                <c:pt idx="29">
                  <c:v>5.2185373804264863E-2</c:v>
                </c:pt>
                <c:pt idx="30">
                  <c:v>5.221668502854742E-2</c:v>
                </c:pt>
                <c:pt idx="31">
                  <c:v>5.2248015039564548E-2</c:v>
                </c:pt>
                <c:pt idx="32">
                  <c:v>5.2274139047084327E-2</c:v>
                </c:pt>
                <c:pt idx="33">
                  <c:v>5.2300276116607869E-2</c:v>
                </c:pt>
                <c:pt idx="34">
                  <c:v>5.2326426254666172E-2</c:v>
                </c:pt>
                <c:pt idx="35">
                  <c:v>5.2352589467793503E-2</c:v>
                </c:pt>
                <c:pt idx="36">
                  <c:v>5.2378765762527396E-2</c:v>
                </c:pt>
                <c:pt idx="37">
                  <c:v>5.240495514540866E-2</c:v>
                </c:pt>
                <c:pt idx="38">
                  <c:v>5.243115762298136E-2</c:v>
                </c:pt>
                <c:pt idx="39">
                  <c:v>5.2457373201792848E-2</c:v>
                </c:pt>
                <c:pt idx="40">
                  <c:v>5.2483601888393738E-2</c:v>
                </c:pt>
                <c:pt idx="41">
                  <c:v>5.2509843689337934E-2</c:v>
                </c:pt>
                <c:pt idx="42">
                  <c:v>5.2536098611182601E-2</c:v>
                </c:pt>
                <c:pt idx="43">
                  <c:v>5.2562366660488191E-2</c:v>
                </c:pt>
                <c:pt idx="44">
                  <c:v>5.2588647843818434E-2</c:v>
                </c:pt>
                <c:pt idx="45">
                  <c:v>5.261494216774034E-2</c:v>
                </c:pt>
                <c:pt idx="46">
                  <c:v>5.264124963882421E-2</c:v>
                </c:pt>
                <c:pt idx="47">
                  <c:v>5.2667570263643618E-2</c:v>
                </c:pt>
                <c:pt idx="48">
                  <c:v>5.271145990552998E-2</c:v>
                </c:pt>
                <c:pt idx="49">
                  <c:v>5.2755386122117914E-2</c:v>
                </c:pt>
                <c:pt idx="50">
                  <c:v>5.279934894388634E-2</c:v>
                </c:pt>
                <c:pt idx="51">
                  <c:v>5.2843348401339571E-2</c:v>
                </c:pt>
                <c:pt idx="52">
                  <c:v>5.2887384525007346E-2</c:v>
                </c:pt>
              </c:numCache>
            </c:numRef>
          </c:val>
          <c:smooth val="0"/>
          <c:extLst>
            <c:ext xmlns:c16="http://schemas.microsoft.com/office/drawing/2014/chart" uri="{C3380CC4-5D6E-409C-BE32-E72D297353CC}">
              <c16:uniqueId val="{00000001-7361-4688-B22A-17DF451874B1}"/>
            </c:ext>
          </c:extLst>
        </c:ser>
        <c:dLbls>
          <c:showLegendKey val="0"/>
          <c:showVal val="0"/>
          <c:showCatName val="0"/>
          <c:showSerName val="0"/>
          <c:showPercent val="0"/>
          <c:showBubbleSize val="0"/>
        </c:dLbls>
        <c:smooth val="0"/>
        <c:axId val="1648012416"/>
        <c:axId val="1648012896"/>
      </c:lineChart>
      <c:dateAx>
        <c:axId val="1648012416"/>
        <c:scaling>
          <c:orientation val="minMax"/>
        </c:scaling>
        <c:delete val="0"/>
        <c:axPos val="b"/>
        <c:numFmt formatCode="m/d/yyyy"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648012896"/>
        <c:crosses val="autoZero"/>
        <c:auto val="1"/>
        <c:lblOffset val="100"/>
        <c:baseTimeUnit val="days"/>
      </c:dateAx>
      <c:valAx>
        <c:axId val="1648012896"/>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64801241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Percent Asset Location</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lineChart>
        <c:grouping val="standard"/>
        <c:varyColors val="0"/>
        <c:ser>
          <c:idx val="0"/>
          <c:order val="0"/>
          <c:tx>
            <c:strRef>
              <c:f>'GK Cash Flow 2026'!$C$1</c:f>
              <c:strCache>
                <c:ptCount val="1"/>
                <c:pt idx="0">
                  <c:v>Taxable</c:v>
                </c:pt>
              </c:strCache>
            </c:strRef>
          </c:tx>
          <c:spPr>
            <a:ln w="22225" cap="rnd">
              <a:solidFill>
                <a:schemeClr val="accent1"/>
              </a:solidFill>
            </a:ln>
            <a:effectLst>
              <a:glow rad="139700">
                <a:schemeClr val="accent1">
                  <a:satMod val="175000"/>
                  <a:alpha val="14000"/>
                </a:schemeClr>
              </a:glow>
            </a:effectLst>
          </c:spPr>
          <c:marker>
            <c:symbol val="none"/>
          </c:marker>
          <c:cat>
            <c:numRef>
              <c:f>'GK Cash Flow 2026'!$A$3:$A$54</c:f>
              <c:numCache>
                <c:formatCode>m/d/yyyy</c:formatCode>
                <c:ptCount val="52"/>
                <c:pt idx="0">
                  <c:v>46032</c:v>
                </c:pt>
                <c:pt idx="1">
                  <c:v>46039</c:v>
                </c:pt>
                <c:pt idx="2">
                  <c:v>46046</c:v>
                </c:pt>
                <c:pt idx="3">
                  <c:v>46053</c:v>
                </c:pt>
                <c:pt idx="4">
                  <c:v>46060</c:v>
                </c:pt>
                <c:pt idx="5">
                  <c:v>46067</c:v>
                </c:pt>
                <c:pt idx="6">
                  <c:v>46074</c:v>
                </c:pt>
                <c:pt idx="7">
                  <c:v>46081</c:v>
                </c:pt>
                <c:pt idx="8">
                  <c:v>46088</c:v>
                </c:pt>
                <c:pt idx="9">
                  <c:v>46095</c:v>
                </c:pt>
                <c:pt idx="10">
                  <c:v>46102</c:v>
                </c:pt>
                <c:pt idx="11">
                  <c:v>46109</c:v>
                </c:pt>
                <c:pt idx="12">
                  <c:v>46116</c:v>
                </c:pt>
                <c:pt idx="13">
                  <c:v>46123</c:v>
                </c:pt>
                <c:pt idx="14">
                  <c:v>46130</c:v>
                </c:pt>
                <c:pt idx="15">
                  <c:v>46137</c:v>
                </c:pt>
                <c:pt idx="16">
                  <c:v>46144</c:v>
                </c:pt>
                <c:pt idx="17">
                  <c:v>46151</c:v>
                </c:pt>
                <c:pt idx="18">
                  <c:v>46158</c:v>
                </c:pt>
                <c:pt idx="19">
                  <c:v>46165</c:v>
                </c:pt>
                <c:pt idx="20">
                  <c:v>46172</c:v>
                </c:pt>
                <c:pt idx="21">
                  <c:v>46179</c:v>
                </c:pt>
                <c:pt idx="22">
                  <c:v>46186</c:v>
                </c:pt>
                <c:pt idx="23">
                  <c:v>46193</c:v>
                </c:pt>
                <c:pt idx="24">
                  <c:v>46200</c:v>
                </c:pt>
                <c:pt idx="25">
                  <c:v>46207</c:v>
                </c:pt>
                <c:pt idx="26">
                  <c:v>46214</c:v>
                </c:pt>
                <c:pt idx="27">
                  <c:v>46221</c:v>
                </c:pt>
                <c:pt idx="28">
                  <c:v>46228</c:v>
                </c:pt>
                <c:pt idx="29">
                  <c:v>46235</c:v>
                </c:pt>
                <c:pt idx="30">
                  <c:v>46242</c:v>
                </c:pt>
                <c:pt idx="31">
                  <c:v>46249</c:v>
                </c:pt>
                <c:pt idx="32">
                  <c:v>46256</c:v>
                </c:pt>
                <c:pt idx="33">
                  <c:v>46263</c:v>
                </c:pt>
                <c:pt idx="34">
                  <c:v>46270</c:v>
                </c:pt>
                <c:pt idx="35">
                  <c:v>46277</c:v>
                </c:pt>
                <c:pt idx="36">
                  <c:v>46284</c:v>
                </c:pt>
                <c:pt idx="37">
                  <c:v>46291</c:v>
                </c:pt>
                <c:pt idx="38">
                  <c:v>46298</c:v>
                </c:pt>
                <c:pt idx="39">
                  <c:v>46305</c:v>
                </c:pt>
                <c:pt idx="40">
                  <c:v>46312</c:v>
                </c:pt>
                <c:pt idx="41">
                  <c:v>46319</c:v>
                </c:pt>
                <c:pt idx="42">
                  <c:v>46326</c:v>
                </c:pt>
                <c:pt idx="43">
                  <c:v>46333</c:v>
                </c:pt>
                <c:pt idx="44">
                  <c:v>46340</c:v>
                </c:pt>
                <c:pt idx="45">
                  <c:v>46347</c:v>
                </c:pt>
                <c:pt idx="46">
                  <c:v>46354</c:v>
                </c:pt>
                <c:pt idx="47">
                  <c:v>46361</c:v>
                </c:pt>
                <c:pt idx="48">
                  <c:v>46368</c:v>
                </c:pt>
                <c:pt idx="49">
                  <c:v>46375</c:v>
                </c:pt>
                <c:pt idx="50">
                  <c:v>46382</c:v>
                </c:pt>
                <c:pt idx="51">
                  <c:v>46388</c:v>
                </c:pt>
              </c:numCache>
            </c:numRef>
          </c:cat>
          <c:val>
            <c:numRef>
              <c:f>'GK Cash Flow 2026'!$C$2:$C$54</c:f>
              <c:numCache>
                <c:formatCode>0.000%</c:formatCode>
                <c:ptCount val="5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numCache>
            </c:numRef>
          </c:val>
          <c:smooth val="0"/>
          <c:extLst>
            <c:ext xmlns:c16="http://schemas.microsoft.com/office/drawing/2014/chart" uri="{C3380CC4-5D6E-409C-BE32-E72D297353CC}">
              <c16:uniqueId val="{00000000-AF92-4461-ACF5-D8FE2210B648}"/>
            </c:ext>
          </c:extLst>
        </c:ser>
        <c:ser>
          <c:idx val="1"/>
          <c:order val="1"/>
          <c:tx>
            <c:strRef>
              <c:f>'GK Cash Flow 2026'!$E$1</c:f>
              <c:strCache>
                <c:ptCount val="1"/>
                <c:pt idx="0">
                  <c:v>Tax Free</c:v>
                </c:pt>
              </c:strCache>
            </c:strRef>
          </c:tx>
          <c:spPr>
            <a:ln w="22225" cap="rnd">
              <a:solidFill>
                <a:schemeClr val="accent2"/>
              </a:solidFill>
            </a:ln>
            <a:effectLst>
              <a:glow rad="139700">
                <a:schemeClr val="accent2">
                  <a:satMod val="175000"/>
                  <a:alpha val="14000"/>
                </a:schemeClr>
              </a:glow>
            </a:effectLst>
          </c:spPr>
          <c:marker>
            <c:symbol val="none"/>
          </c:marker>
          <c:cat>
            <c:numRef>
              <c:f>'GK Cash Flow 2026'!$A$3:$A$54</c:f>
              <c:numCache>
                <c:formatCode>m/d/yyyy</c:formatCode>
                <c:ptCount val="52"/>
                <c:pt idx="0">
                  <c:v>46032</c:v>
                </c:pt>
                <c:pt idx="1">
                  <c:v>46039</c:v>
                </c:pt>
                <c:pt idx="2">
                  <c:v>46046</c:v>
                </c:pt>
                <c:pt idx="3">
                  <c:v>46053</c:v>
                </c:pt>
                <c:pt idx="4">
                  <c:v>46060</c:v>
                </c:pt>
                <c:pt idx="5">
                  <c:v>46067</c:v>
                </c:pt>
                <c:pt idx="6">
                  <c:v>46074</c:v>
                </c:pt>
                <c:pt idx="7">
                  <c:v>46081</c:v>
                </c:pt>
                <c:pt idx="8">
                  <c:v>46088</c:v>
                </c:pt>
                <c:pt idx="9">
                  <c:v>46095</c:v>
                </c:pt>
                <c:pt idx="10">
                  <c:v>46102</c:v>
                </c:pt>
                <c:pt idx="11">
                  <c:v>46109</c:v>
                </c:pt>
                <c:pt idx="12">
                  <c:v>46116</c:v>
                </c:pt>
                <c:pt idx="13">
                  <c:v>46123</c:v>
                </c:pt>
                <c:pt idx="14">
                  <c:v>46130</c:v>
                </c:pt>
                <c:pt idx="15">
                  <c:v>46137</c:v>
                </c:pt>
                <c:pt idx="16">
                  <c:v>46144</c:v>
                </c:pt>
                <c:pt idx="17">
                  <c:v>46151</c:v>
                </c:pt>
                <c:pt idx="18">
                  <c:v>46158</c:v>
                </c:pt>
                <c:pt idx="19">
                  <c:v>46165</c:v>
                </c:pt>
                <c:pt idx="20">
                  <c:v>46172</c:v>
                </c:pt>
                <c:pt idx="21">
                  <c:v>46179</c:v>
                </c:pt>
                <c:pt idx="22">
                  <c:v>46186</c:v>
                </c:pt>
                <c:pt idx="23">
                  <c:v>46193</c:v>
                </c:pt>
                <c:pt idx="24">
                  <c:v>46200</c:v>
                </c:pt>
                <c:pt idx="25">
                  <c:v>46207</c:v>
                </c:pt>
                <c:pt idx="26">
                  <c:v>46214</c:v>
                </c:pt>
                <c:pt idx="27">
                  <c:v>46221</c:v>
                </c:pt>
                <c:pt idx="28">
                  <c:v>46228</c:v>
                </c:pt>
                <c:pt idx="29">
                  <c:v>46235</c:v>
                </c:pt>
                <c:pt idx="30">
                  <c:v>46242</c:v>
                </c:pt>
                <c:pt idx="31">
                  <c:v>46249</c:v>
                </c:pt>
                <c:pt idx="32">
                  <c:v>46256</c:v>
                </c:pt>
                <c:pt idx="33">
                  <c:v>46263</c:v>
                </c:pt>
                <c:pt idx="34">
                  <c:v>46270</c:v>
                </c:pt>
                <c:pt idx="35">
                  <c:v>46277</c:v>
                </c:pt>
                <c:pt idx="36">
                  <c:v>46284</c:v>
                </c:pt>
                <c:pt idx="37">
                  <c:v>46291</c:v>
                </c:pt>
                <c:pt idx="38">
                  <c:v>46298</c:v>
                </c:pt>
                <c:pt idx="39">
                  <c:v>46305</c:v>
                </c:pt>
                <c:pt idx="40">
                  <c:v>46312</c:v>
                </c:pt>
                <c:pt idx="41">
                  <c:v>46319</c:v>
                </c:pt>
                <c:pt idx="42">
                  <c:v>46326</c:v>
                </c:pt>
                <c:pt idx="43">
                  <c:v>46333</c:v>
                </c:pt>
                <c:pt idx="44">
                  <c:v>46340</c:v>
                </c:pt>
                <c:pt idx="45">
                  <c:v>46347</c:v>
                </c:pt>
                <c:pt idx="46">
                  <c:v>46354</c:v>
                </c:pt>
                <c:pt idx="47">
                  <c:v>46361</c:v>
                </c:pt>
                <c:pt idx="48">
                  <c:v>46368</c:v>
                </c:pt>
                <c:pt idx="49">
                  <c:v>46375</c:v>
                </c:pt>
                <c:pt idx="50">
                  <c:v>46382</c:v>
                </c:pt>
                <c:pt idx="51">
                  <c:v>46388</c:v>
                </c:pt>
              </c:numCache>
            </c:numRef>
          </c:cat>
          <c:val>
            <c:numRef>
              <c:f>'GK Cash Flow 2026'!$E$2:$E$54</c:f>
              <c:numCache>
                <c:formatCode>0.000%</c:formatCode>
                <c:ptCount val="5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numCache>
            </c:numRef>
          </c:val>
          <c:smooth val="0"/>
          <c:extLst>
            <c:ext xmlns:c16="http://schemas.microsoft.com/office/drawing/2014/chart" uri="{C3380CC4-5D6E-409C-BE32-E72D297353CC}">
              <c16:uniqueId val="{00000001-AF92-4461-ACF5-D8FE2210B648}"/>
            </c:ext>
          </c:extLst>
        </c:ser>
        <c:ser>
          <c:idx val="2"/>
          <c:order val="2"/>
          <c:tx>
            <c:strRef>
              <c:f>'GK Cash Flow 2026'!$G$1</c:f>
              <c:strCache>
                <c:ptCount val="1"/>
                <c:pt idx="0">
                  <c:v>Tax Deferred</c:v>
                </c:pt>
              </c:strCache>
            </c:strRef>
          </c:tx>
          <c:spPr>
            <a:ln w="22225" cap="rnd">
              <a:solidFill>
                <a:schemeClr val="accent3"/>
              </a:solidFill>
            </a:ln>
            <a:effectLst>
              <a:glow rad="139700">
                <a:schemeClr val="accent3">
                  <a:satMod val="175000"/>
                  <a:alpha val="14000"/>
                </a:schemeClr>
              </a:glow>
            </a:effectLst>
          </c:spPr>
          <c:marker>
            <c:symbol val="none"/>
          </c:marker>
          <c:cat>
            <c:numRef>
              <c:f>'GK Cash Flow 2026'!$A$3:$A$54</c:f>
              <c:numCache>
                <c:formatCode>m/d/yyyy</c:formatCode>
                <c:ptCount val="52"/>
                <c:pt idx="0">
                  <c:v>46032</c:v>
                </c:pt>
                <c:pt idx="1">
                  <c:v>46039</c:v>
                </c:pt>
                <c:pt idx="2">
                  <c:v>46046</c:v>
                </c:pt>
                <c:pt idx="3">
                  <c:v>46053</c:v>
                </c:pt>
                <c:pt idx="4">
                  <c:v>46060</c:v>
                </c:pt>
                <c:pt idx="5">
                  <c:v>46067</c:v>
                </c:pt>
                <c:pt idx="6">
                  <c:v>46074</c:v>
                </c:pt>
                <c:pt idx="7">
                  <c:v>46081</c:v>
                </c:pt>
                <c:pt idx="8">
                  <c:v>46088</c:v>
                </c:pt>
                <c:pt idx="9">
                  <c:v>46095</c:v>
                </c:pt>
                <c:pt idx="10">
                  <c:v>46102</c:v>
                </c:pt>
                <c:pt idx="11">
                  <c:v>46109</c:v>
                </c:pt>
                <c:pt idx="12">
                  <c:v>46116</c:v>
                </c:pt>
                <c:pt idx="13">
                  <c:v>46123</c:v>
                </c:pt>
                <c:pt idx="14">
                  <c:v>46130</c:v>
                </c:pt>
                <c:pt idx="15">
                  <c:v>46137</c:v>
                </c:pt>
                <c:pt idx="16">
                  <c:v>46144</c:v>
                </c:pt>
                <c:pt idx="17">
                  <c:v>46151</c:v>
                </c:pt>
                <c:pt idx="18">
                  <c:v>46158</c:v>
                </c:pt>
                <c:pt idx="19">
                  <c:v>46165</c:v>
                </c:pt>
                <c:pt idx="20">
                  <c:v>46172</c:v>
                </c:pt>
                <c:pt idx="21">
                  <c:v>46179</c:v>
                </c:pt>
                <c:pt idx="22">
                  <c:v>46186</c:v>
                </c:pt>
                <c:pt idx="23">
                  <c:v>46193</c:v>
                </c:pt>
                <c:pt idx="24">
                  <c:v>46200</c:v>
                </c:pt>
                <c:pt idx="25">
                  <c:v>46207</c:v>
                </c:pt>
                <c:pt idx="26">
                  <c:v>46214</c:v>
                </c:pt>
                <c:pt idx="27">
                  <c:v>46221</c:v>
                </c:pt>
                <c:pt idx="28">
                  <c:v>46228</c:v>
                </c:pt>
                <c:pt idx="29">
                  <c:v>46235</c:v>
                </c:pt>
                <c:pt idx="30">
                  <c:v>46242</c:v>
                </c:pt>
                <c:pt idx="31">
                  <c:v>46249</c:v>
                </c:pt>
                <c:pt idx="32">
                  <c:v>46256</c:v>
                </c:pt>
                <c:pt idx="33">
                  <c:v>46263</c:v>
                </c:pt>
                <c:pt idx="34">
                  <c:v>46270</c:v>
                </c:pt>
                <c:pt idx="35">
                  <c:v>46277</c:v>
                </c:pt>
                <c:pt idx="36">
                  <c:v>46284</c:v>
                </c:pt>
                <c:pt idx="37">
                  <c:v>46291</c:v>
                </c:pt>
                <c:pt idx="38">
                  <c:v>46298</c:v>
                </c:pt>
                <c:pt idx="39">
                  <c:v>46305</c:v>
                </c:pt>
                <c:pt idx="40">
                  <c:v>46312</c:v>
                </c:pt>
                <c:pt idx="41">
                  <c:v>46319</c:v>
                </c:pt>
                <c:pt idx="42">
                  <c:v>46326</c:v>
                </c:pt>
                <c:pt idx="43">
                  <c:v>46333</c:v>
                </c:pt>
                <c:pt idx="44">
                  <c:v>46340</c:v>
                </c:pt>
                <c:pt idx="45">
                  <c:v>46347</c:v>
                </c:pt>
                <c:pt idx="46">
                  <c:v>46354</c:v>
                </c:pt>
                <c:pt idx="47">
                  <c:v>46361</c:v>
                </c:pt>
                <c:pt idx="48">
                  <c:v>46368</c:v>
                </c:pt>
                <c:pt idx="49">
                  <c:v>46375</c:v>
                </c:pt>
                <c:pt idx="50">
                  <c:v>46382</c:v>
                </c:pt>
                <c:pt idx="51">
                  <c:v>46388</c:v>
                </c:pt>
              </c:numCache>
            </c:numRef>
          </c:cat>
          <c:val>
            <c:numRef>
              <c:f>'GK Cash Flow 2026'!$G$2:$G$54</c:f>
              <c:numCache>
                <c:formatCode>0.000%</c:formatCode>
                <c:ptCount val="5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numCache>
            </c:numRef>
          </c:val>
          <c:smooth val="0"/>
          <c:extLst>
            <c:ext xmlns:c16="http://schemas.microsoft.com/office/drawing/2014/chart" uri="{C3380CC4-5D6E-409C-BE32-E72D297353CC}">
              <c16:uniqueId val="{00000002-AF92-4461-ACF5-D8FE2210B648}"/>
            </c:ext>
          </c:extLst>
        </c:ser>
        <c:ser>
          <c:idx val="3"/>
          <c:order val="3"/>
          <c:tx>
            <c:strRef>
              <c:f>'GK Cash Flow 2026'!$I$1</c:f>
              <c:strCache>
                <c:ptCount val="1"/>
                <c:pt idx="0">
                  <c:v>Cash</c:v>
                </c:pt>
              </c:strCache>
            </c:strRef>
          </c:tx>
          <c:spPr>
            <a:ln w="22225" cap="rnd">
              <a:solidFill>
                <a:schemeClr val="accent4"/>
              </a:solidFill>
            </a:ln>
            <a:effectLst>
              <a:glow rad="139700">
                <a:schemeClr val="accent4">
                  <a:satMod val="175000"/>
                  <a:alpha val="14000"/>
                </a:schemeClr>
              </a:glow>
            </a:effectLst>
          </c:spPr>
          <c:marker>
            <c:symbol val="none"/>
          </c:marker>
          <c:cat>
            <c:numRef>
              <c:f>'GK Cash Flow 2026'!$A$3:$A$54</c:f>
              <c:numCache>
                <c:formatCode>m/d/yyyy</c:formatCode>
                <c:ptCount val="52"/>
                <c:pt idx="0">
                  <c:v>46032</c:v>
                </c:pt>
                <c:pt idx="1">
                  <c:v>46039</c:v>
                </c:pt>
                <c:pt idx="2">
                  <c:v>46046</c:v>
                </c:pt>
                <c:pt idx="3">
                  <c:v>46053</c:v>
                </c:pt>
                <c:pt idx="4">
                  <c:v>46060</c:v>
                </c:pt>
                <c:pt idx="5">
                  <c:v>46067</c:v>
                </c:pt>
                <c:pt idx="6">
                  <c:v>46074</c:v>
                </c:pt>
                <c:pt idx="7">
                  <c:v>46081</c:v>
                </c:pt>
                <c:pt idx="8">
                  <c:v>46088</c:v>
                </c:pt>
                <c:pt idx="9">
                  <c:v>46095</c:v>
                </c:pt>
                <c:pt idx="10">
                  <c:v>46102</c:v>
                </c:pt>
                <c:pt idx="11">
                  <c:v>46109</c:v>
                </c:pt>
                <c:pt idx="12">
                  <c:v>46116</c:v>
                </c:pt>
                <c:pt idx="13">
                  <c:v>46123</c:v>
                </c:pt>
                <c:pt idx="14">
                  <c:v>46130</c:v>
                </c:pt>
                <c:pt idx="15">
                  <c:v>46137</c:v>
                </c:pt>
                <c:pt idx="16">
                  <c:v>46144</c:v>
                </c:pt>
                <c:pt idx="17">
                  <c:v>46151</c:v>
                </c:pt>
                <c:pt idx="18">
                  <c:v>46158</c:v>
                </c:pt>
                <c:pt idx="19">
                  <c:v>46165</c:v>
                </c:pt>
                <c:pt idx="20">
                  <c:v>46172</c:v>
                </c:pt>
                <c:pt idx="21">
                  <c:v>46179</c:v>
                </c:pt>
                <c:pt idx="22">
                  <c:v>46186</c:v>
                </c:pt>
                <c:pt idx="23">
                  <c:v>46193</c:v>
                </c:pt>
                <c:pt idx="24">
                  <c:v>46200</c:v>
                </c:pt>
                <c:pt idx="25">
                  <c:v>46207</c:v>
                </c:pt>
                <c:pt idx="26">
                  <c:v>46214</c:v>
                </c:pt>
                <c:pt idx="27">
                  <c:v>46221</c:v>
                </c:pt>
                <c:pt idx="28">
                  <c:v>46228</c:v>
                </c:pt>
                <c:pt idx="29">
                  <c:v>46235</c:v>
                </c:pt>
                <c:pt idx="30">
                  <c:v>46242</c:v>
                </c:pt>
                <c:pt idx="31">
                  <c:v>46249</c:v>
                </c:pt>
                <c:pt idx="32">
                  <c:v>46256</c:v>
                </c:pt>
                <c:pt idx="33">
                  <c:v>46263</c:v>
                </c:pt>
                <c:pt idx="34">
                  <c:v>46270</c:v>
                </c:pt>
                <c:pt idx="35">
                  <c:v>46277</c:v>
                </c:pt>
                <c:pt idx="36">
                  <c:v>46284</c:v>
                </c:pt>
                <c:pt idx="37">
                  <c:v>46291</c:v>
                </c:pt>
                <c:pt idx="38">
                  <c:v>46298</c:v>
                </c:pt>
                <c:pt idx="39">
                  <c:v>46305</c:v>
                </c:pt>
                <c:pt idx="40">
                  <c:v>46312</c:v>
                </c:pt>
                <c:pt idx="41">
                  <c:v>46319</c:v>
                </c:pt>
                <c:pt idx="42">
                  <c:v>46326</c:v>
                </c:pt>
                <c:pt idx="43">
                  <c:v>46333</c:v>
                </c:pt>
                <c:pt idx="44">
                  <c:v>46340</c:v>
                </c:pt>
                <c:pt idx="45">
                  <c:v>46347</c:v>
                </c:pt>
                <c:pt idx="46">
                  <c:v>46354</c:v>
                </c:pt>
                <c:pt idx="47">
                  <c:v>46361</c:v>
                </c:pt>
                <c:pt idx="48">
                  <c:v>46368</c:v>
                </c:pt>
                <c:pt idx="49">
                  <c:v>46375</c:v>
                </c:pt>
                <c:pt idx="50">
                  <c:v>46382</c:v>
                </c:pt>
                <c:pt idx="51">
                  <c:v>46388</c:v>
                </c:pt>
              </c:numCache>
            </c:numRef>
          </c:cat>
          <c:val>
            <c:numRef>
              <c:f>'GK Cash Flow 2026'!$I$2:$I$54</c:f>
              <c:numCache>
                <c:formatCode>0.000%</c:formatCode>
                <c:ptCount val="5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numCache>
            </c:numRef>
          </c:val>
          <c:smooth val="0"/>
          <c:extLst>
            <c:ext xmlns:c16="http://schemas.microsoft.com/office/drawing/2014/chart" uri="{C3380CC4-5D6E-409C-BE32-E72D297353CC}">
              <c16:uniqueId val="{00000003-AF92-4461-ACF5-D8FE2210B648}"/>
            </c:ext>
          </c:extLst>
        </c:ser>
        <c:dLbls>
          <c:showLegendKey val="0"/>
          <c:showVal val="0"/>
          <c:showCatName val="0"/>
          <c:showSerName val="0"/>
          <c:showPercent val="0"/>
          <c:showBubbleSize val="0"/>
        </c:dLbls>
        <c:smooth val="0"/>
        <c:axId val="1632112896"/>
        <c:axId val="1632102816"/>
      </c:lineChart>
      <c:dateAx>
        <c:axId val="1632112896"/>
        <c:scaling>
          <c:orientation val="minMax"/>
        </c:scaling>
        <c:delete val="0"/>
        <c:axPos val="b"/>
        <c:numFmt formatCode="m/d/yyyy"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632102816"/>
        <c:crosses val="autoZero"/>
        <c:auto val="1"/>
        <c:lblOffset val="100"/>
        <c:baseTimeUnit val="days"/>
      </c:dateAx>
      <c:valAx>
        <c:axId val="1632102816"/>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63211289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span"/>
    <c:showDLblsOverMax val="0"/>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Percent Withdrawn</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lineChart>
        <c:grouping val="standard"/>
        <c:varyColors val="0"/>
        <c:ser>
          <c:idx val="0"/>
          <c:order val="0"/>
          <c:tx>
            <c:strRef>
              <c:f>'GK Cash Flow 2026'!$O$1</c:f>
              <c:strCache>
                <c:ptCount val="1"/>
                <c:pt idx="0">
                  <c:v>Inflated Withdrawal</c:v>
                </c:pt>
              </c:strCache>
            </c:strRef>
          </c:tx>
          <c:spPr>
            <a:ln w="22225" cap="rnd">
              <a:solidFill>
                <a:schemeClr val="accent1"/>
              </a:solidFill>
            </a:ln>
            <a:effectLst>
              <a:glow rad="139700">
                <a:schemeClr val="accent1">
                  <a:satMod val="175000"/>
                  <a:alpha val="14000"/>
                </a:schemeClr>
              </a:glow>
            </a:effectLst>
          </c:spPr>
          <c:marker>
            <c:symbol val="none"/>
          </c:marker>
          <c:cat>
            <c:numRef>
              <c:f>'GK Cash Flow 2026'!$A$2:$A$54</c:f>
              <c:numCache>
                <c:formatCode>m/d/yyyy</c:formatCode>
                <c:ptCount val="53"/>
                <c:pt idx="0">
                  <c:v>46025</c:v>
                </c:pt>
                <c:pt idx="1">
                  <c:v>46032</c:v>
                </c:pt>
                <c:pt idx="2">
                  <c:v>46039</c:v>
                </c:pt>
                <c:pt idx="3">
                  <c:v>46046</c:v>
                </c:pt>
                <c:pt idx="4">
                  <c:v>46053</c:v>
                </c:pt>
                <c:pt idx="5">
                  <c:v>46060</c:v>
                </c:pt>
                <c:pt idx="6">
                  <c:v>46067</c:v>
                </c:pt>
                <c:pt idx="7">
                  <c:v>46074</c:v>
                </c:pt>
                <c:pt idx="8">
                  <c:v>46081</c:v>
                </c:pt>
                <c:pt idx="9">
                  <c:v>46088</c:v>
                </c:pt>
                <c:pt idx="10">
                  <c:v>46095</c:v>
                </c:pt>
                <c:pt idx="11">
                  <c:v>46102</c:v>
                </c:pt>
                <c:pt idx="12">
                  <c:v>46109</c:v>
                </c:pt>
                <c:pt idx="13">
                  <c:v>46116</c:v>
                </c:pt>
                <c:pt idx="14">
                  <c:v>46123</c:v>
                </c:pt>
                <c:pt idx="15">
                  <c:v>46130</c:v>
                </c:pt>
                <c:pt idx="16">
                  <c:v>46137</c:v>
                </c:pt>
                <c:pt idx="17">
                  <c:v>46144</c:v>
                </c:pt>
                <c:pt idx="18">
                  <c:v>46151</c:v>
                </c:pt>
                <c:pt idx="19">
                  <c:v>46158</c:v>
                </c:pt>
                <c:pt idx="20">
                  <c:v>46165</c:v>
                </c:pt>
                <c:pt idx="21">
                  <c:v>46172</c:v>
                </c:pt>
                <c:pt idx="22">
                  <c:v>46179</c:v>
                </c:pt>
                <c:pt idx="23">
                  <c:v>46186</c:v>
                </c:pt>
                <c:pt idx="24">
                  <c:v>46193</c:v>
                </c:pt>
                <c:pt idx="25">
                  <c:v>46200</c:v>
                </c:pt>
                <c:pt idx="26">
                  <c:v>46207</c:v>
                </c:pt>
                <c:pt idx="27">
                  <c:v>46214</c:v>
                </c:pt>
                <c:pt idx="28">
                  <c:v>46221</c:v>
                </c:pt>
                <c:pt idx="29">
                  <c:v>46228</c:v>
                </c:pt>
                <c:pt idx="30">
                  <c:v>46235</c:v>
                </c:pt>
                <c:pt idx="31">
                  <c:v>46242</c:v>
                </c:pt>
                <c:pt idx="32">
                  <c:v>46249</c:v>
                </c:pt>
                <c:pt idx="33">
                  <c:v>46256</c:v>
                </c:pt>
                <c:pt idx="34">
                  <c:v>46263</c:v>
                </c:pt>
                <c:pt idx="35">
                  <c:v>46270</c:v>
                </c:pt>
                <c:pt idx="36">
                  <c:v>46277</c:v>
                </c:pt>
                <c:pt idx="37">
                  <c:v>46284</c:v>
                </c:pt>
                <c:pt idx="38">
                  <c:v>46291</c:v>
                </c:pt>
                <c:pt idx="39">
                  <c:v>46298</c:v>
                </c:pt>
                <c:pt idx="40">
                  <c:v>46305</c:v>
                </c:pt>
                <c:pt idx="41">
                  <c:v>46312</c:v>
                </c:pt>
                <c:pt idx="42">
                  <c:v>46319</c:v>
                </c:pt>
                <c:pt idx="43">
                  <c:v>46326</c:v>
                </c:pt>
                <c:pt idx="44">
                  <c:v>46333</c:v>
                </c:pt>
                <c:pt idx="45">
                  <c:v>46340</c:v>
                </c:pt>
                <c:pt idx="46">
                  <c:v>46347</c:v>
                </c:pt>
                <c:pt idx="47">
                  <c:v>46354</c:v>
                </c:pt>
                <c:pt idx="48">
                  <c:v>46361</c:v>
                </c:pt>
                <c:pt idx="49">
                  <c:v>46368</c:v>
                </c:pt>
                <c:pt idx="50">
                  <c:v>46375</c:v>
                </c:pt>
                <c:pt idx="51">
                  <c:v>46382</c:v>
                </c:pt>
                <c:pt idx="52">
                  <c:v>46388</c:v>
                </c:pt>
              </c:numCache>
            </c:numRef>
          </c:cat>
          <c:val>
            <c:numRef>
              <c:f>'GK Cash Flow 2026'!$O$2:$O$54</c:f>
              <c:numCache>
                <c:formatCode>0.000%</c:formatCode>
                <c:ptCount val="53"/>
                <c:pt idx="0">
                  <c:v>5.131903997970718E-2</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numCache>
            </c:numRef>
          </c:val>
          <c:smooth val="0"/>
          <c:extLst>
            <c:ext xmlns:c16="http://schemas.microsoft.com/office/drawing/2014/chart" uri="{C3380CC4-5D6E-409C-BE32-E72D297353CC}">
              <c16:uniqueId val="{00000000-F5A1-40E3-BA1F-BE7D568E12A9}"/>
            </c:ext>
          </c:extLst>
        </c:ser>
        <c:ser>
          <c:idx val="1"/>
          <c:order val="1"/>
          <c:tx>
            <c:strRef>
              <c:f>'GK Cash Flow 2026'!$X$1</c:f>
              <c:strCache>
                <c:ptCount val="1"/>
                <c:pt idx="0">
                  <c:v>Guyton Klinger Adjustment</c:v>
                </c:pt>
              </c:strCache>
            </c:strRef>
          </c:tx>
          <c:spPr>
            <a:ln w="22225" cap="rnd">
              <a:solidFill>
                <a:schemeClr val="accent2"/>
              </a:solidFill>
            </a:ln>
            <a:effectLst>
              <a:glow rad="139700">
                <a:schemeClr val="accent2">
                  <a:satMod val="175000"/>
                  <a:alpha val="14000"/>
                </a:schemeClr>
              </a:glow>
            </a:effectLst>
          </c:spPr>
          <c:marker>
            <c:symbol val="none"/>
          </c:marker>
          <c:cat>
            <c:numRef>
              <c:f>'GK Cash Flow 2026'!$A$2:$A$54</c:f>
              <c:numCache>
                <c:formatCode>m/d/yyyy</c:formatCode>
                <c:ptCount val="53"/>
                <c:pt idx="0">
                  <c:v>46025</c:v>
                </c:pt>
                <c:pt idx="1">
                  <c:v>46032</c:v>
                </c:pt>
                <c:pt idx="2">
                  <c:v>46039</c:v>
                </c:pt>
                <c:pt idx="3">
                  <c:v>46046</c:v>
                </c:pt>
                <c:pt idx="4">
                  <c:v>46053</c:v>
                </c:pt>
                <c:pt idx="5">
                  <c:v>46060</c:v>
                </c:pt>
                <c:pt idx="6">
                  <c:v>46067</c:v>
                </c:pt>
                <c:pt idx="7">
                  <c:v>46074</c:v>
                </c:pt>
                <c:pt idx="8">
                  <c:v>46081</c:v>
                </c:pt>
                <c:pt idx="9">
                  <c:v>46088</c:v>
                </c:pt>
                <c:pt idx="10">
                  <c:v>46095</c:v>
                </c:pt>
                <c:pt idx="11">
                  <c:v>46102</c:v>
                </c:pt>
                <c:pt idx="12">
                  <c:v>46109</c:v>
                </c:pt>
                <c:pt idx="13">
                  <c:v>46116</c:v>
                </c:pt>
                <c:pt idx="14">
                  <c:v>46123</c:v>
                </c:pt>
                <c:pt idx="15">
                  <c:v>46130</c:v>
                </c:pt>
                <c:pt idx="16">
                  <c:v>46137</c:v>
                </c:pt>
                <c:pt idx="17">
                  <c:v>46144</c:v>
                </c:pt>
                <c:pt idx="18">
                  <c:v>46151</c:v>
                </c:pt>
                <c:pt idx="19">
                  <c:v>46158</c:v>
                </c:pt>
                <c:pt idx="20">
                  <c:v>46165</c:v>
                </c:pt>
                <c:pt idx="21">
                  <c:v>46172</c:v>
                </c:pt>
                <c:pt idx="22">
                  <c:v>46179</c:v>
                </c:pt>
                <c:pt idx="23">
                  <c:v>46186</c:v>
                </c:pt>
                <c:pt idx="24">
                  <c:v>46193</c:v>
                </c:pt>
                <c:pt idx="25">
                  <c:v>46200</c:v>
                </c:pt>
                <c:pt idx="26">
                  <c:v>46207</c:v>
                </c:pt>
                <c:pt idx="27">
                  <c:v>46214</c:v>
                </c:pt>
                <c:pt idx="28">
                  <c:v>46221</c:v>
                </c:pt>
                <c:pt idx="29">
                  <c:v>46228</c:v>
                </c:pt>
                <c:pt idx="30">
                  <c:v>46235</c:v>
                </c:pt>
                <c:pt idx="31">
                  <c:v>46242</c:v>
                </c:pt>
                <c:pt idx="32">
                  <c:v>46249</c:v>
                </c:pt>
                <c:pt idx="33">
                  <c:v>46256</c:v>
                </c:pt>
                <c:pt idx="34">
                  <c:v>46263</c:v>
                </c:pt>
                <c:pt idx="35">
                  <c:v>46270</c:v>
                </c:pt>
                <c:pt idx="36">
                  <c:v>46277</c:v>
                </c:pt>
                <c:pt idx="37">
                  <c:v>46284</c:v>
                </c:pt>
                <c:pt idx="38">
                  <c:v>46291</c:v>
                </c:pt>
                <c:pt idx="39">
                  <c:v>46298</c:v>
                </c:pt>
                <c:pt idx="40">
                  <c:v>46305</c:v>
                </c:pt>
                <c:pt idx="41">
                  <c:v>46312</c:v>
                </c:pt>
                <c:pt idx="42">
                  <c:v>46319</c:v>
                </c:pt>
                <c:pt idx="43">
                  <c:v>46326</c:v>
                </c:pt>
                <c:pt idx="44">
                  <c:v>46333</c:v>
                </c:pt>
                <c:pt idx="45">
                  <c:v>46340</c:v>
                </c:pt>
                <c:pt idx="46">
                  <c:v>46347</c:v>
                </c:pt>
                <c:pt idx="47">
                  <c:v>46354</c:v>
                </c:pt>
                <c:pt idx="48">
                  <c:v>46361</c:v>
                </c:pt>
                <c:pt idx="49">
                  <c:v>46368</c:v>
                </c:pt>
                <c:pt idx="50">
                  <c:v>46375</c:v>
                </c:pt>
                <c:pt idx="51">
                  <c:v>46382</c:v>
                </c:pt>
                <c:pt idx="52">
                  <c:v>46388</c:v>
                </c:pt>
              </c:numCache>
            </c:numRef>
          </c:cat>
          <c:val>
            <c:numRef>
              <c:f>'GK Cash Flow 2026'!$X$2:$X$54</c:f>
              <c:numCache>
                <c:formatCode>0.000%</c:formatCode>
                <c:ptCount val="53"/>
                <c:pt idx="0">
                  <c:v>5.131903997970718E-2</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numCache>
            </c:numRef>
          </c:val>
          <c:smooth val="0"/>
          <c:extLst>
            <c:ext xmlns:c16="http://schemas.microsoft.com/office/drawing/2014/chart" uri="{C3380CC4-5D6E-409C-BE32-E72D297353CC}">
              <c16:uniqueId val="{00000001-F5A1-40E3-BA1F-BE7D568E12A9}"/>
            </c:ext>
          </c:extLst>
        </c:ser>
        <c:dLbls>
          <c:showLegendKey val="0"/>
          <c:showVal val="0"/>
          <c:showCatName val="0"/>
          <c:showSerName val="0"/>
          <c:showPercent val="0"/>
          <c:showBubbleSize val="0"/>
        </c:dLbls>
        <c:smooth val="0"/>
        <c:axId val="1648012416"/>
        <c:axId val="1648012896"/>
      </c:lineChart>
      <c:dateAx>
        <c:axId val="1648012416"/>
        <c:scaling>
          <c:orientation val="minMax"/>
        </c:scaling>
        <c:delete val="0"/>
        <c:axPos val="b"/>
        <c:numFmt formatCode="m/d/yyyy"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648012896"/>
        <c:crosses val="autoZero"/>
        <c:auto val="1"/>
        <c:lblOffset val="100"/>
        <c:baseTimeUnit val="days"/>
      </c:dateAx>
      <c:valAx>
        <c:axId val="1648012896"/>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64801241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sz="1400" b="1" i="0" u="none" strike="noStrike" kern="1200" cap="none" baseline="0">
                <a:solidFill>
                  <a:sysClr val="window" lastClr="FFFFFF">
                    <a:lumMod val="85000"/>
                  </a:sysClr>
                </a:solidFill>
              </a:rPr>
              <a:t>Percent Asset Location</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scatterChart>
        <c:scatterStyle val="smoothMarker"/>
        <c:varyColors val="0"/>
        <c:ser>
          <c:idx val="0"/>
          <c:order val="0"/>
          <c:tx>
            <c:strRef>
              <c:f>'Year over Year Stats'!$B$1</c:f>
              <c:strCache>
                <c:ptCount val="1"/>
                <c:pt idx="0">
                  <c:v>Taxable %</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xVal>
            <c:numRef>
              <c:f>'Year over Year Stats'!$A$2:$A$10</c:f>
              <c:numCache>
                <c:formatCode>0</c:formatCode>
                <c:ptCount val="9"/>
                <c:pt idx="0">
                  <c:v>2017</c:v>
                </c:pt>
                <c:pt idx="1">
                  <c:v>2018</c:v>
                </c:pt>
                <c:pt idx="2">
                  <c:v>2019</c:v>
                </c:pt>
                <c:pt idx="3">
                  <c:v>2020</c:v>
                </c:pt>
                <c:pt idx="4">
                  <c:v>2021</c:v>
                </c:pt>
                <c:pt idx="5">
                  <c:v>2022</c:v>
                </c:pt>
                <c:pt idx="6">
                  <c:v>2023</c:v>
                </c:pt>
                <c:pt idx="7">
                  <c:v>2024</c:v>
                </c:pt>
                <c:pt idx="8">
                  <c:v>2025</c:v>
                </c:pt>
              </c:numCache>
            </c:numRef>
          </c:xVal>
          <c:yVal>
            <c:numRef>
              <c:f>'Year over Year Stats'!$B$2:$B$10</c:f>
              <c:numCache>
                <c:formatCode>0.000%</c:formatCode>
                <c:ptCount val="9"/>
                <c:pt idx="6">
                  <c:v>9.5248038294149087E-2</c:v>
                </c:pt>
                <c:pt idx="7">
                  <c:v>6.5302334061537043E-2</c:v>
                </c:pt>
                <c:pt idx="8">
                  <c:v>7.6357587024378573E-2</c:v>
                </c:pt>
              </c:numCache>
            </c:numRef>
          </c:yVal>
          <c:smooth val="1"/>
          <c:extLst>
            <c:ext xmlns:c16="http://schemas.microsoft.com/office/drawing/2014/chart" uri="{C3380CC4-5D6E-409C-BE32-E72D297353CC}">
              <c16:uniqueId val="{00000000-42FB-4C4A-9573-E5037DB216F5}"/>
            </c:ext>
          </c:extLst>
        </c:ser>
        <c:ser>
          <c:idx val="1"/>
          <c:order val="1"/>
          <c:tx>
            <c:strRef>
              <c:f>'Year over Year Stats'!$C$1</c:f>
              <c:strCache>
                <c:ptCount val="1"/>
                <c:pt idx="0">
                  <c:v>Tax Free %</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xVal>
            <c:numRef>
              <c:f>'Year over Year Stats'!$A$2:$A$10</c:f>
              <c:numCache>
                <c:formatCode>0</c:formatCode>
                <c:ptCount val="9"/>
                <c:pt idx="0">
                  <c:v>2017</c:v>
                </c:pt>
                <c:pt idx="1">
                  <c:v>2018</c:v>
                </c:pt>
                <c:pt idx="2">
                  <c:v>2019</c:v>
                </c:pt>
                <c:pt idx="3">
                  <c:v>2020</c:v>
                </c:pt>
                <c:pt idx="4">
                  <c:v>2021</c:v>
                </c:pt>
                <c:pt idx="5">
                  <c:v>2022</c:v>
                </c:pt>
                <c:pt idx="6">
                  <c:v>2023</c:v>
                </c:pt>
                <c:pt idx="7">
                  <c:v>2024</c:v>
                </c:pt>
                <c:pt idx="8">
                  <c:v>2025</c:v>
                </c:pt>
              </c:numCache>
            </c:numRef>
          </c:xVal>
          <c:yVal>
            <c:numRef>
              <c:f>'Year over Year Stats'!$C$2:$C$10</c:f>
              <c:numCache>
                <c:formatCode>0.000%</c:formatCode>
                <c:ptCount val="9"/>
                <c:pt idx="6">
                  <c:v>0.14606758679241882</c:v>
                </c:pt>
                <c:pt idx="7">
                  <c:v>0.22989392705621262</c:v>
                </c:pt>
                <c:pt idx="8">
                  <c:v>0.35012673212484169</c:v>
                </c:pt>
              </c:numCache>
            </c:numRef>
          </c:yVal>
          <c:smooth val="1"/>
          <c:extLst>
            <c:ext xmlns:c16="http://schemas.microsoft.com/office/drawing/2014/chart" uri="{C3380CC4-5D6E-409C-BE32-E72D297353CC}">
              <c16:uniqueId val="{00000001-42FB-4C4A-9573-E5037DB216F5}"/>
            </c:ext>
          </c:extLst>
        </c:ser>
        <c:ser>
          <c:idx val="2"/>
          <c:order val="2"/>
          <c:tx>
            <c:strRef>
              <c:f>'Year over Year Stats'!$D$1</c:f>
              <c:strCache>
                <c:ptCount val="1"/>
                <c:pt idx="0">
                  <c:v>Tax Deferred %</c:v>
                </c:pt>
              </c:strCache>
            </c:strRef>
          </c:tx>
          <c:spPr>
            <a:ln w="22225" cap="rnd">
              <a:solidFill>
                <a:schemeClr val="accent3"/>
              </a:solidFill>
            </a:ln>
            <a:effectLst>
              <a:glow rad="139700">
                <a:schemeClr val="accent3">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xVal>
            <c:numRef>
              <c:f>'Year over Year Stats'!$A$2:$A$10</c:f>
              <c:numCache>
                <c:formatCode>0</c:formatCode>
                <c:ptCount val="9"/>
                <c:pt idx="0">
                  <c:v>2017</c:v>
                </c:pt>
                <c:pt idx="1">
                  <c:v>2018</c:v>
                </c:pt>
                <c:pt idx="2">
                  <c:v>2019</c:v>
                </c:pt>
                <c:pt idx="3">
                  <c:v>2020</c:v>
                </c:pt>
                <c:pt idx="4">
                  <c:v>2021</c:v>
                </c:pt>
                <c:pt idx="5">
                  <c:v>2022</c:v>
                </c:pt>
                <c:pt idx="6">
                  <c:v>2023</c:v>
                </c:pt>
                <c:pt idx="7">
                  <c:v>2024</c:v>
                </c:pt>
                <c:pt idx="8">
                  <c:v>2025</c:v>
                </c:pt>
              </c:numCache>
            </c:numRef>
          </c:xVal>
          <c:yVal>
            <c:numRef>
              <c:f>'Year over Year Stats'!$D$2:$D$10</c:f>
              <c:numCache>
                <c:formatCode>0.000%</c:formatCode>
                <c:ptCount val="9"/>
                <c:pt idx="6">
                  <c:v>0.75826201175247732</c:v>
                </c:pt>
                <c:pt idx="7">
                  <c:v>0.62067253901710306</c:v>
                </c:pt>
                <c:pt idx="8">
                  <c:v>0.4920990073951238</c:v>
                </c:pt>
              </c:numCache>
            </c:numRef>
          </c:yVal>
          <c:smooth val="1"/>
          <c:extLst>
            <c:ext xmlns:c16="http://schemas.microsoft.com/office/drawing/2014/chart" uri="{C3380CC4-5D6E-409C-BE32-E72D297353CC}">
              <c16:uniqueId val="{00000002-42FB-4C4A-9573-E5037DB216F5}"/>
            </c:ext>
          </c:extLst>
        </c:ser>
        <c:ser>
          <c:idx val="3"/>
          <c:order val="3"/>
          <c:tx>
            <c:strRef>
              <c:f>'Year over Year Stats'!$E$1</c:f>
              <c:strCache>
                <c:ptCount val="1"/>
                <c:pt idx="0">
                  <c:v>Cash %</c:v>
                </c:pt>
              </c:strCache>
            </c:strRef>
          </c:tx>
          <c:spPr>
            <a:ln w="22225" cap="rnd">
              <a:solidFill>
                <a:schemeClr val="accent4"/>
              </a:solidFill>
            </a:ln>
            <a:effectLst>
              <a:glow rad="139700">
                <a:schemeClr val="accent4">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xVal>
            <c:numRef>
              <c:f>'Year over Year Stats'!$A$2:$A$10</c:f>
              <c:numCache>
                <c:formatCode>0</c:formatCode>
                <c:ptCount val="9"/>
                <c:pt idx="0">
                  <c:v>2017</c:v>
                </c:pt>
                <c:pt idx="1">
                  <c:v>2018</c:v>
                </c:pt>
                <c:pt idx="2">
                  <c:v>2019</c:v>
                </c:pt>
                <c:pt idx="3">
                  <c:v>2020</c:v>
                </c:pt>
                <c:pt idx="4">
                  <c:v>2021</c:v>
                </c:pt>
                <c:pt idx="5">
                  <c:v>2022</c:v>
                </c:pt>
                <c:pt idx="6">
                  <c:v>2023</c:v>
                </c:pt>
                <c:pt idx="7">
                  <c:v>2024</c:v>
                </c:pt>
                <c:pt idx="8">
                  <c:v>2025</c:v>
                </c:pt>
              </c:numCache>
            </c:numRef>
          </c:xVal>
          <c:yVal>
            <c:numRef>
              <c:f>'Year over Year Stats'!$E$2:$E$10</c:f>
              <c:numCache>
                <c:formatCode>0.000%</c:formatCode>
                <c:ptCount val="9"/>
                <c:pt idx="6">
                  <c:v>4.223631609547577E-4</c:v>
                </c:pt>
                <c:pt idx="7">
                  <c:v>8.4131199865147416E-2</c:v>
                </c:pt>
                <c:pt idx="8">
                  <c:v>8.1416673455655911E-2</c:v>
                </c:pt>
              </c:numCache>
            </c:numRef>
          </c:yVal>
          <c:smooth val="1"/>
          <c:extLst>
            <c:ext xmlns:c16="http://schemas.microsoft.com/office/drawing/2014/chart" uri="{C3380CC4-5D6E-409C-BE32-E72D297353CC}">
              <c16:uniqueId val="{00000003-42FB-4C4A-9573-E5037DB216F5}"/>
            </c:ext>
          </c:extLst>
        </c:ser>
        <c:dLbls>
          <c:showLegendKey val="0"/>
          <c:showVal val="0"/>
          <c:showCatName val="0"/>
          <c:showSerName val="0"/>
          <c:showPercent val="0"/>
          <c:showBubbleSize val="0"/>
        </c:dLbls>
        <c:axId val="968717103"/>
        <c:axId val="968723343"/>
      </c:scatterChart>
      <c:valAx>
        <c:axId val="968717103"/>
        <c:scaling>
          <c:orientation val="minMax"/>
          <c:max val="2025"/>
          <c:min val="2023"/>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8723343"/>
        <c:crosses val="autoZero"/>
        <c:crossBetween val="midCat"/>
      </c:valAx>
      <c:valAx>
        <c:axId val="968723343"/>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68717103"/>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Sequence of Returns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scatterChart>
        <c:scatterStyle val="smoothMarker"/>
        <c:varyColors val="0"/>
        <c:ser>
          <c:idx val="0"/>
          <c:order val="0"/>
          <c:tx>
            <c:strRef>
              <c:f>'Year over Year Stats'!$F$1</c:f>
              <c:strCache>
                <c:ptCount val="1"/>
                <c:pt idx="0">
                  <c:v>Sequence of Returns</c:v>
                </c:pt>
              </c:strCache>
            </c:strRef>
          </c:tx>
          <c:spPr>
            <a:ln w="95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trendline>
            <c:spPr>
              <a:ln w="19050" cap="rnd">
                <a:solidFill>
                  <a:srgbClr val="FF0000"/>
                </a:solidFill>
                <a:prstDash val="sysDash"/>
              </a:ln>
              <a:effectLst/>
            </c:spPr>
            <c:trendlineType val="movingAvg"/>
            <c:period val="2"/>
            <c:dispRSqr val="0"/>
            <c:dispEq val="0"/>
          </c:trendline>
          <c:xVal>
            <c:numRef>
              <c:f>'Year over Year Stats'!$A$2:$A$10</c:f>
              <c:numCache>
                <c:formatCode>0</c:formatCode>
                <c:ptCount val="9"/>
                <c:pt idx="0">
                  <c:v>2017</c:v>
                </c:pt>
                <c:pt idx="1">
                  <c:v>2018</c:v>
                </c:pt>
                <c:pt idx="2">
                  <c:v>2019</c:v>
                </c:pt>
                <c:pt idx="3">
                  <c:v>2020</c:v>
                </c:pt>
                <c:pt idx="4">
                  <c:v>2021</c:v>
                </c:pt>
                <c:pt idx="5">
                  <c:v>2022</c:v>
                </c:pt>
                <c:pt idx="6">
                  <c:v>2023</c:v>
                </c:pt>
                <c:pt idx="7">
                  <c:v>2024</c:v>
                </c:pt>
                <c:pt idx="8">
                  <c:v>2025</c:v>
                </c:pt>
              </c:numCache>
            </c:numRef>
          </c:xVal>
          <c:yVal>
            <c:numRef>
              <c:f>'Year over Year Stats'!$F$2:$F$10</c:f>
              <c:numCache>
                <c:formatCode>0.000%</c:formatCode>
                <c:ptCount val="9"/>
                <c:pt idx="0">
                  <c:v>0.14449999999999999</c:v>
                </c:pt>
                <c:pt idx="1">
                  <c:v>-8.8499999999999995E-2</c:v>
                </c:pt>
                <c:pt idx="2">
                  <c:v>0.25480000000000003</c:v>
                </c:pt>
                <c:pt idx="3">
                  <c:v>0.12280000000000001</c:v>
                </c:pt>
                <c:pt idx="4">
                  <c:v>0.1255</c:v>
                </c:pt>
                <c:pt idx="5">
                  <c:v>-0.17829999999999999</c:v>
                </c:pt>
                <c:pt idx="6">
                  <c:v>9.5366754674231627E-2</c:v>
                </c:pt>
                <c:pt idx="7">
                  <c:v>0.15214230686920244</c:v>
                </c:pt>
                <c:pt idx="8">
                  <c:v>0.18143691663009229</c:v>
                </c:pt>
              </c:numCache>
            </c:numRef>
          </c:yVal>
          <c:smooth val="1"/>
          <c:extLst>
            <c:ext xmlns:c16="http://schemas.microsoft.com/office/drawing/2014/chart" uri="{C3380CC4-5D6E-409C-BE32-E72D297353CC}">
              <c16:uniqueId val="{00000000-9F4A-48E3-BD75-5381BFB2D377}"/>
            </c:ext>
          </c:extLst>
        </c:ser>
        <c:dLbls>
          <c:showLegendKey val="0"/>
          <c:showVal val="0"/>
          <c:showCatName val="0"/>
          <c:showSerName val="0"/>
          <c:showPercent val="0"/>
          <c:showBubbleSize val="0"/>
        </c:dLbls>
        <c:axId val="975711327"/>
        <c:axId val="975711807"/>
      </c:scatterChart>
      <c:valAx>
        <c:axId val="975711327"/>
        <c:scaling>
          <c:orientation val="minMax"/>
          <c:max val="2025"/>
          <c:min val="2017"/>
        </c:scaling>
        <c:delete val="0"/>
        <c:axPos val="b"/>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75711807"/>
        <c:crosses val="autoZero"/>
        <c:crossBetween val="midCat"/>
      </c:valAx>
      <c:valAx>
        <c:axId val="975711807"/>
        <c:scaling>
          <c:orientation val="minMax"/>
          <c:max val="0.26"/>
          <c:min val="-0.18000000000000002"/>
        </c:scaling>
        <c:delete val="0"/>
        <c:axPos val="l"/>
        <c:majorGridlines>
          <c:spPr>
            <a:ln w="9525" cap="flat" cmpd="sng" algn="ctr">
              <a:solidFill>
                <a:schemeClr val="lt1">
                  <a:lumMod val="95000"/>
                  <a:alpha val="10000"/>
                </a:schemeClr>
              </a:solidFill>
              <a:round/>
            </a:ln>
            <a:effectLst/>
          </c:spPr>
        </c:majorGridlines>
        <c:numFmt formatCode="0.000%" sourceLinked="1"/>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75711327"/>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Wealthfront Consolidation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scatterChart>
        <c:scatterStyle val="smoothMarker"/>
        <c:varyColors val="0"/>
        <c:ser>
          <c:idx val="0"/>
          <c:order val="0"/>
          <c:tx>
            <c:strRef>
              <c:f>'Year over Year Stats'!$G$1</c:f>
              <c:strCache>
                <c:ptCount val="1"/>
                <c:pt idx="0">
                  <c:v>Wealthfront Consolidation</c:v>
                </c:pt>
              </c:strCache>
            </c:strRef>
          </c:tx>
          <c:spPr>
            <a:ln w="95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xVal>
            <c:numRef>
              <c:f>'Year over Year Stats'!$A$2:$A$10</c:f>
              <c:numCache>
                <c:formatCode>0</c:formatCode>
                <c:ptCount val="9"/>
                <c:pt idx="0">
                  <c:v>2017</c:v>
                </c:pt>
                <c:pt idx="1">
                  <c:v>2018</c:v>
                </c:pt>
                <c:pt idx="2">
                  <c:v>2019</c:v>
                </c:pt>
                <c:pt idx="3">
                  <c:v>2020</c:v>
                </c:pt>
                <c:pt idx="4">
                  <c:v>2021</c:v>
                </c:pt>
                <c:pt idx="5">
                  <c:v>2022</c:v>
                </c:pt>
                <c:pt idx="6">
                  <c:v>2023</c:v>
                </c:pt>
                <c:pt idx="7">
                  <c:v>2024</c:v>
                </c:pt>
                <c:pt idx="8">
                  <c:v>2025</c:v>
                </c:pt>
              </c:numCache>
            </c:numRef>
          </c:xVal>
          <c:yVal>
            <c:numRef>
              <c:f>'Year over Year Stats'!$G$2:$G$10</c:f>
              <c:numCache>
                <c:formatCode>0.000%</c:formatCode>
                <c:ptCount val="9"/>
                <c:pt idx="6">
                  <c:v>0.24173798824752268</c:v>
                </c:pt>
                <c:pt idx="7">
                  <c:v>0.37932746098289694</c:v>
                </c:pt>
                <c:pt idx="8">
                  <c:v>0.5079009926048762</c:v>
                </c:pt>
              </c:numCache>
            </c:numRef>
          </c:yVal>
          <c:smooth val="1"/>
          <c:extLst>
            <c:ext xmlns:c16="http://schemas.microsoft.com/office/drawing/2014/chart" uri="{C3380CC4-5D6E-409C-BE32-E72D297353CC}">
              <c16:uniqueId val="{00000002-C15C-48B9-B62E-2B7A678FB358}"/>
            </c:ext>
          </c:extLst>
        </c:ser>
        <c:dLbls>
          <c:showLegendKey val="0"/>
          <c:showVal val="0"/>
          <c:showCatName val="0"/>
          <c:showSerName val="0"/>
          <c:showPercent val="0"/>
          <c:showBubbleSize val="0"/>
        </c:dLbls>
        <c:axId val="975711327"/>
        <c:axId val="975711807"/>
      </c:scatterChart>
      <c:valAx>
        <c:axId val="975711327"/>
        <c:scaling>
          <c:orientation val="minMax"/>
          <c:max val="2025"/>
          <c:min val="2023"/>
        </c:scaling>
        <c:delete val="0"/>
        <c:axPos val="b"/>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75711807"/>
        <c:crosses val="autoZero"/>
        <c:crossBetween val="midCat"/>
      </c:valAx>
      <c:valAx>
        <c:axId val="975711807"/>
        <c:scaling>
          <c:orientation val="minMax"/>
          <c:max val="0.60000000000000009"/>
          <c:min val="0"/>
        </c:scaling>
        <c:delete val="0"/>
        <c:axPos val="l"/>
        <c:majorGridlines>
          <c:spPr>
            <a:ln w="9525" cap="flat" cmpd="sng" algn="ctr">
              <a:solidFill>
                <a:schemeClr val="lt1">
                  <a:lumMod val="95000"/>
                  <a:alpha val="10000"/>
                </a:schemeClr>
              </a:solidFill>
              <a:round/>
            </a:ln>
            <a:effectLst/>
          </c:spPr>
        </c:majorGridlines>
        <c:numFmt formatCode="0.000%" sourceLinked="1"/>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75711327"/>
        <c:crosses val="autoZero"/>
        <c:crossBetween val="midCat"/>
      </c:valAx>
      <c:spPr>
        <a:noFill/>
        <a:ln>
          <a:noFill/>
        </a:ln>
        <a:effectLst/>
      </c:spPr>
    </c:plotArea>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Spent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scatterChart>
        <c:scatterStyle val="smoothMarker"/>
        <c:varyColors val="0"/>
        <c:ser>
          <c:idx val="0"/>
          <c:order val="0"/>
          <c:tx>
            <c:strRef>
              <c:f>'Year over Year Stats'!$H$1</c:f>
              <c:strCache>
                <c:ptCount val="1"/>
                <c:pt idx="0">
                  <c:v>Spent</c:v>
                </c:pt>
              </c:strCache>
            </c:strRef>
          </c:tx>
          <c:spPr>
            <a:ln w="95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xVal>
            <c:numRef>
              <c:f>'Year over Year Stats'!$A$2:$A$10</c:f>
              <c:numCache>
                <c:formatCode>0</c:formatCode>
                <c:ptCount val="9"/>
                <c:pt idx="0">
                  <c:v>2017</c:v>
                </c:pt>
                <c:pt idx="1">
                  <c:v>2018</c:v>
                </c:pt>
                <c:pt idx="2">
                  <c:v>2019</c:v>
                </c:pt>
                <c:pt idx="3">
                  <c:v>2020</c:v>
                </c:pt>
                <c:pt idx="4">
                  <c:v>2021</c:v>
                </c:pt>
                <c:pt idx="5">
                  <c:v>2022</c:v>
                </c:pt>
                <c:pt idx="6">
                  <c:v>2023</c:v>
                </c:pt>
                <c:pt idx="7">
                  <c:v>2024</c:v>
                </c:pt>
                <c:pt idx="8">
                  <c:v>2025</c:v>
                </c:pt>
              </c:numCache>
            </c:numRef>
          </c:xVal>
          <c:yVal>
            <c:numRef>
              <c:f>'Year over Year Stats'!$H$2:$H$10</c:f>
              <c:numCache>
                <c:formatCode>0.000%</c:formatCode>
                <c:ptCount val="9"/>
                <c:pt idx="6">
                  <c:v>3.0045335996962168E-2</c:v>
                </c:pt>
                <c:pt idx="7">
                  <c:v>2.9170507634678586E-2</c:v>
                </c:pt>
                <c:pt idx="8">
                  <c:v>3.7986101885566288E-2</c:v>
                </c:pt>
              </c:numCache>
            </c:numRef>
          </c:yVal>
          <c:smooth val="1"/>
          <c:extLst>
            <c:ext xmlns:c16="http://schemas.microsoft.com/office/drawing/2014/chart" uri="{C3380CC4-5D6E-409C-BE32-E72D297353CC}">
              <c16:uniqueId val="{00000002-1498-4D1D-8BE6-2591C55C9C0F}"/>
            </c:ext>
          </c:extLst>
        </c:ser>
        <c:dLbls>
          <c:showLegendKey val="0"/>
          <c:showVal val="0"/>
          <c:showCatName val="0"/>
          <c:showSerName val="0"/>
          <c:showPercent val="0"/>
          <c:showBubbleSize val="0"/>
        </c:dLbls>
        <c:axId val="975711327"/>
        <c:axId val="975711807"/>
      </c:scatterChart>
      <c:valAx>
        <c:axId val="975711327"/>
        <c:scaling>
          <c:orientation val="minMax"/>
          <c:max val="2025"/>
          <c:min val="2023"/>
        </c:scaling>
        <c:delete val="0"/>
        <c:axPos val="b"/>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75711807"/>
        <c:crosses val="autoZero"/>
        <c:crossBetween val="midCat"/>
      </c:valAx>
      <c:valAx>
        <c:axId val="975711807"/>
        <c:scaling>
          <c:orientation val="minMax"/>
          <c:min val="0"/>
        </c:scaling>
        <c:delete val="0"/>
        <c:axPos val="l"/>
        <c:majorGridlines>
          <c:spPr>
            <a:ln w="9525" cap="flat" cmpd="sng" algn="ctr">
              <a:solidFill>
                <a:schemeClr val="lt1">
                  <a:lumMod val="95000"/>
                  <a:alpha val="10000"/>
                </a:schemeClr>
              </a:solidFill>
              <a:round/>
            </a:ln>
            <a:effectLst/>
          </c:spPr>
        </c:majorGridlines>
        <c:numFmt formatCode="0.000%" sourceLinked="1"/>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75711327"/>
        <c:crosses val="autoZero"/>
        <c:crossBetween val="midCat"/>
      </c:valAx>
      <c:spPr>
        <a:noFill/>
        <a:ln>
          <a:noFill/>
        </a:ln>
        <a:effectLst/>
      </c:spPr>
    </c:plotArea>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Tax</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scatterChart>
        <c:scatterStyle val="smoothMarker"/>
        <c:varyColors val="0"/>
        <c:ser>
          <c:idx val="0"/>
          <c:order val="0"/>
          <c:tx>
            <c:strRef>
              <c:f>'Year over Year Stats'!$I$1</c:f>
              <c:strCache>
                <c:ptCount val="1"/>
                <c:pt idx="0">
                  <c:v>Tax</c:v>
                </c:pt>
              </c:strCache>
            </c:strRef>
          </c:tx>
          <c:spPr>
            <a:ln w="95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xVal>
            <c:numRef>
              <c:f>'Year over Year Stats'!$A$2:$A$10</c:f>
              <c:numCache>
                <c:formatCode>0</c:formatCode>
                <c:ptCount val="9"/>
                <c:pt idx="0">
                  <c:v>2017</c:v>
                </c:pt>
                <c:pt idx="1">
                  <c:v>2018</c:v>
                </c:pt>
                <c:pt idx="2">
                  <c:v>2019</c:v>
                </c:pt>
                <c:pt idx="3">
                  <c:v>2020</c:v>
                </c:pt>
                <c:pt idx="4">
                  <c:v>2021</c:v>
                </c:pt>
                <c:pt idx="5">
                  <c:v>2022</c:v>
                </c:pt>
                <c:pt idx="6">
                  <c:v>2023</c:v>
                </c:pt>
                <c:pt idx="7">
                  <c:v>2024</c:v>
                </c:pt>
                <c:pt idx="8">
                  <c:v>2025</c:v>
                </c:pt>
              </c:numCache>
            </c:numRef>
          </c:xVal>
          <c:yVal>
            <c:numRef>
              <c:f>'Year over Year Stats'!$I$2:$I$10</c:f>
              <c:numCache>
                <c:formatCode>0.000%</c:formatCode>
                <c:ptCount val="9"/>
                <c:pt idx="6">
                  <c:v>1.7687655784530222E-2</c:v>
                </c:pt>
                <c:pt idx="7">
                  <c:v>2.5038875691301095E-2</c:v>
                </c:pt>
                <c:pt idx="8">
                  <c:v>2.5625261346905216E-2</c:v>
                </c:pt>
              </c:numCache>
            </c:numRef>
          </c:yVal>
          <c:smooth val="1"/>
          <c:extLst>
            <c:ext xmlns:c16="http://schemas.microsoft.com/office/drawing/2014/chart" uri="{C3380CC4-5D6E-409C-BE32-E72D297353CC}">
              <c16:uniqueId val="{00000002-1591-48B1-911C-2798C0821B60}"/>
            </c:ext>
          </c:extLst>
        </c:ser>
        <c:dLbls>
          <c:showLegendKey val="0"/>
          <c:showVal val="0"/>
          <c:showCatName val="0"/>
          <c:showSerName val="0"/>
          <c:showPercent val="0"/>
          <c:showBubbleSize val="0"/>
        </c:dLbls>
        <c:axId val="975711327"/>
        <c:axId val="975711807"/>
      </c:scatterChart>
      <c:valAx>
        <c:axId val="975711327"/>
        <c:scaling>
          <c:orientation val="minMax"/>
          <c:max val="2025"/>
          <c:min val="2023"/>
        </c:scaling>
        <c:delete val="0"/>
        <c:axPos val="b"/>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75711807"/>
        <c:crosses val="autoZero"/>
        <c:crossBetween val="midCat"/>
      </c:valAx>
      <c:valAx>
        <c:axId val="975711807"/>
        <c:scaling>
          <c:orientation val="minMax"/>
          <c:min val="0"/>
        </c:scaling>
        <c:delete val="0"/>
        <c:axPos val="l"/>
        <c:majorGridlines>
          <c:spPr>
            <a:ln w="9525" cap="flat" cmpd="sng" algn="ctr">
              <a:solidFill>
                <a:schemeClr val="lt1">
                  <a:lumMod val="95000"/>
                  <a:alpha val="10000"/>
                </a:schemeClr>
              </a:solidFill>
              <a:round/>
            </a:ln>
            <a:effectLst/>
          </c:spPr>
        </c:majorGridlines>
        <c:numFmt formatCode="0.000%" sourceLinked="1"/>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75711327"/>
        <c:crosses val="autoZero"/>
        <c:crossBetween val="midCat"/>
      </c:valAx>
      <c:spPr>
        <a:noFill/>
        <a:ln>
          <a:noFill/>
        </a:ln>
        <a:effectLst/>
      </c:spPr>
    </c:plotArea>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Spent + Tax</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scatterChart>
        <c:scatterStyle val="smoothMarker"/>
        <c:varyColors val="0"/>
        <c:ser>
          <c:idx val="0"/>
          <c:order val="0"/>
          <c:tx>
            <c:strRef>
              <c:f>'Year over Year Stats'!$J$1</c:f>
              <c:strCache>
                <c:ptCount val="1"/>
                <c:pt idx="0">
                  <c:v>Spent + Tax</c:v>
                </c:pt>
              </c:strCache>
            </c:strRef>
          </c:tx>
          <c:spPr>
            <a:ln w="95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xVal>
            <c:numRef>
              <c:f>'Year over Year Stats'!$A$2:$A$10</c:f>
              <c:numCache>
                <c:formatCode>0</c:formatCode>
                <c:ptCount val="9"/>
                <c:pt idx="0">
                  <c:v>2017</c:v>
                </c:pt>
                <c:pt idx="1">
                  <c:v>2018</c:v>
                </c:pt>
                <c:pt idx="2">
                  <c:v>2019</c:v>
                </c:pt>
                <c:pt idx="3">
                  <c:v>2020</c:v>
                </c:pt>
                <c:pt idx="4">
                  <c:v>2021</c:v>
                </c:pt>
                <c:pt idx="5">
                  <c:v>2022</c:v>
                </c:pt>
                <c:pt idx="6">
                  <c:v>2023</c:v>
                </c:pt>
                <c:pt idx="7">
                  <c:v>2024</c:v>
                </c:pt>
                <c:pt idx="8">
                  <c:v>2025</c:v>
                </c:pt>
              </c:numCache>
            </c:numRef>
          </c:xVal>
          <c:yVal>
            <c:numRef>
              <c:f>'Year over Year Stats'!$J$2:$J$10</c:f>
              <c:numCache>
                <c:formatCode>0.000%</c:formatCode>
                <c:ptCount val="9"/>
                <c:pt idx="6">
                  <c:v>4.7732991781492387E-2</c:v>
                </c:pt>
                <c:pt idx="7">
                  <c:v>5.4209383325979681E-2</c:v>
                </c:pt>
                <c:pt idx="8">
                  <c:v>6.3611363232471504E-2</c:v>
                </c:pt>
              </c:numCache>
            </c:numRef>
          </c:yVal>
          <c:smooth val="1"/>
          <c:extLst>
            <c:ext xmlns:c16="http://schemas.microsoft.com/office/drawing/2014/chart" uri="{C3380CC4-5D6E-409C-BE32-E72D297353CC}">
              <c16:uniqueId val="{00000002-0D2B-489F-95E2-FC5A4073EDA5}"/>
            </c:ext>
          </c:extLst>
        </c:ser>
        <c:dLbls>
          <c:showLegendKey val="0"/>
          <c:showVal val="0"/>
          <c:showCatName val="0"/>
          <c:showSerName val="0"/>
          <c:showPercent val="0"/>
          <c:showBubbleSize val="0"/>
        </c:dLbls>
        <c:axId val="975711327"/>
        <c:axId val="975711807"/>
      </c:scatterChart>
      <c:valAx>
        <c:axId val="975711327"/>
        <c:scaling>
          <c:orientation val="minMax"/>
          <c:max val="2025"/>
          <c:min val="2023"/>
        </c:scaling>
        <c:delete val="0"/>
        <c:axPos val="b"/>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75711807"/>
        <c:crosses val="autoZero"/>
        <c:crossBetween val="midCat"/>
      </c:valAx>
      <c:valAx>
        <c:axId val="975711807"/>
        <c:scaling>
          <c:orientation val="minMax"/>
          <c:min val="0"/>
        </c:scaling>
        <c:delete val="0"/>
        <c:axPos val="l"/>
        <c:majorGridlines>
          <c:spPr>
            <a:ln w="9525" cap="flat" cmpd="sng" algn="ctr">
              <a:solidFill>
                <a:schemeClr val="lt1">
                  <a:lumMod val="95000"/>
                  <a:alpha val="10000"/>
                </a:schemeClr>
              </a:solidFill>
              <a:round/>
            </a:ln>
            <a:effectLst/>
          </c:spPr>
        </c:majorGridlines>
        <c:numFmt formatCode="0.000%" sourceLinked="1"/>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75711327"/>
        <c:crosses val="autoZero"/>
        <c:crossBetween val="midCat"/>
      </c:valAx>
      <c:spPr>
        <a:noFill/>
        <a:ln>
          <a:noFill/>
        </a:ln>
        <a:effectLst/>
      </c:spPr>
    </c:plotArea>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CPI-U</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scatterChart>
        <c:scatterStyle val="smoothMarker"/>
        <c:varyColors val="0"/>
        <c:ser>
          <c:idx val="0"/>
          <c:order val="0"/>
          <c:tx>
            <c:strRef>
              <c:f>'Year over Year Stats'!$K$1</c:f>
              <c:strCache>
                <c:ptCount val="1"/>
                <c:pt idx="0">
                  <c:v>CPI-U</c:v>
                </c:pt>
              </c:strCache>
            </c:strRef>
          </c:tx>
          <c:spPr>
            <a:ln w="95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xVal>
            <c:numRef>
              <c:f>'Year over Year Stats'!$A$2:$A$10</c:f>
              <c:numCache>
                <c:formatCode>0</c:formatCode>
                <c:ptCount val="9"/>
                <c:pt idx="0">
                  <c:v>2017</c:v>
                </c:pt>
                <c:pt idx="1">
                  <c:v>2018</c:v>
                </c:pt>
                <c:pt idx="2">
                  <c:v>2019</c:v>
                </c:pt>
                <c:pt idx="3">
                  <c:v>2020</c:v>
                </c:pt>
                <c:pt idx="4">
                  <c:v>2021</c:v>
                </c:pt>
                <c:pt idx="5">
                  <c:v>2022</c:v>
                </c:pt>
                <c:pt idx="6">
                  <c:v>2023</c:v>
                </c:pt>
                <c:pt idx="7">
                  <c:v>2024</c:v>
                </c:pt>
                <c:pt idx="8">
                  <c:v>2025</c:v>
                </c:pt>
              </c:numCache>
            </c:numRef>
          </c:xVal>
          <c:yVal>
            <c:numRef>
              <c:f>'Year over Year Stats'!$K$2:$K$10</c:f>
              <c:numCache>
                <c:formatCode>0.000%</c:formatCode>
                <c:ptCount val="9"/>
                <c:pt idx="6">
                  <c:v>3.8350000000000016E-2</c:v>
                </c:pt>
                <c:pt idx="7">
                  <c:v>2.5800000000000003E-2</c:v>
                </c:pt>
                <c:pt idx="8">
                  <c:v>2.9989999999999999E-2</c:v>
                </c:pt>
              </c:numCache>
            </c:numRef>
          </c:yVal>
          <c:smooth val="1"/>
          <c:extLst>
            <c:ext xmlns:c16="http://schemas.microsoft.com/office/drawing/2014/chart" uri="{C3380CC4-5D6E-409C-BE32-E72D297353CC}">
              <c16:uniqueId val="{00000005-D634-48C1-BA36-9E30DBCEA2DD}"/>
            </c:ext>
          </c:extLst>
        </c:ser>
        <c:dLbls>
          <c:showLegendKey val="0"/>
          <c:showVal val="0"/>
          <c:showCatName val="0"/>
          <c:showSerName val="0"/>
          <c:showPercent val="0"/>
          <c:showBubbleSize val="0"/>
        </c:dLbls>
        <c:axId val="975711327"/>
        <c:axId val="975711807"/>
      </c:scatterChart>
      <c:valAx>
        <c:axId val="975711327"/>
        <c:scaling>
          <c:orientation val="minMax"/>
          <c:max val="2025"/>
          <c:min val="2023"/>
        </c:scaling>
        <c:delete val="0"/>
        <c:axPos val="b"/>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75711807"/>
        <c:crosses val="autoZero"/>
        <c:crossBetween val="midCat"/>
      </c:valAx>
      <c:valAx>
        <c:axId val="975711807"/>
        <c:scaling>
          <c:orientation val="minMax"/>
          <c:min val="0"/>
        </c:scaling>
        <c:delete val="0"/>
        <c:axPos val="l"/>
        <c:majorGridlines>
          <c:spPr>
            <a:ln w="9525" cap="flat" cmpd="sng" algn="ctr">
              <a:solidFill>
                <a:schemeClr val="lt1">
                  <a:lumMod val="95000"/>
                  <a:alpha val="10000"/>
                </a:schemeClr>
              </a:solidFill>
              <a:round/>
            </a:ln>
            <a:effectLst/>
          </c:spPr>
        </c:majorGridlines>
        <c:numFmt formatCode="0.000%" sourceLinked="1"/>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75711327"/>
        <c:crosses val="autoZero"/>
        <c:crossBetween val="midCat"/>
      </c:valAx>
      <c:spPr>
        <a:noFill/>
        <a:ln>
          <a:noFill/>
        </a:ln>
        <a:effectLst/>
      </c:spPr>
    </c:plotArea>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Roth Conversion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scatterChart>
        <c:scatterStyle val="smoothMarker"/>
        <c:varyColors val="0"/>
        <c:ser>
          <c:idx val="0"/>
          <c:order val="0"/>
          <c:tx>
            <c:strRef>
              <c:f>'Year over Year Stats'!$L$1</c:f>
              <c:strCache>
                <c:ptCount val="1"/>
                <c:pt idx="0">
                  <c:v>Roth Conversion</c:v>
                </c:pt>
              </c:strCache>
            </c:strRef>
          </c:tx>
          <c:spPr>
            <a:ln w="95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xVal>
            <c:numRef>
              <c:f>'Year over Year Stats'!$A$2:$A$10</c:f>
              <c:numCache>
                <c:formatCode>0</c:formatCode>
                <c:ptCount val="9"/>
                <c:pt idx="0">
                  <c:v>2017</c:v>
                </c:pt>
                <c:pt idx="1">
                  <c:v>2018</c:v>
                </c:pt>
                <c:pt idx="2">
                  <c:v>2019</c:v>
                </c:pt>
                <c:pt idx="3">
                  <c:v>2020</c:v>
                </c:pt>
                <c:pt idx="4">
                  <c:v>2021</c:v>
                </c:pt>
                <c:pt idx="5">
                  <c:v>2022</c:v>
                </c:pt>
                <c:pt idx="6">
                  <c:v>2023</c:v>
                </c:pt>
                <c:pt idx="7">
                  <c:v>2024</c:v>
                </c:pt>
                <c:pt idx="8">
                  <c:v>2025</c:v>
                </c:pt>
              </c:numCache>
            </c:numRef>
          </c:xVal>
          <c:yVal>
            <c:numRef>
              <c:f>'Year over Year Stats'!$L$2:$L$10</c:f>
              <c:numCache>
                <c:formatCode>0.000%</c:formatCode>
                <c:ptCount val="9"/>
                <c:pt idx="6">
                  <c:v>6.4551728010865686E-2</c:v>
                </c:pt>
                <c:pt idx="7">
                  <c:v>4.5185311752590461E-2</c:v>
                </c:pt>
                <c:pt idx="8">
                  <c:v>5.0681550169589924E-2</c:v>
                </c:pt>
              </c:numCache>
            </c:numRef>
          </c:yVal>
          <c:smooth val="1"/>
          <c:extLst>
            <c:ext xmlns:c16="http://schemas.microsoft.com/office/drawing/2014/chart" uri="{C3380CC4-5D6E-409C-BE32-E72D297353CC}">
              <c16:uniqueId val="{00000002-8C39-49C8-94D0-4964BFBED791}"/>
            </c:ext>
          </c:extLst>
        </c:ser>
        <c:dLbls>
          <c:showLegendKey val="0"/>
          <c:showVal val="0"/>
          <c:showCatName val="0"/>
          <c:showSerName val="0"/>
          <c:showPercent val="0"/>
          <c:showBubbleSize val="0"/>
        </c:dLbls>
        <c:axId val="975711327"/>
        <c:axId val="975711807"/>
      </c:scatterChart>
      <c:valAx>
        <c:axId val="975711327"/>
        <c:scaling>
          <c:orientation val="minMax"/>
          <c:max val="2025"/>
          <c:min val="2023"/>
        </c:scaling>
        <c:delete val="0"/>
        <c:axPos val="b"/>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75711807"/>
        <c:crosses val="autoZero"/>
        <c:crossBetween val="midCat"/>
      </c:valAx>
      <c:valAx>
        <c:axId val="975711807"/>
        <c:scaling>
          <c:orientation val="minMax"/>
          <c:min val="0"/>
        </c:scaling>
        <c:delete val="0"/>
        <c:axPos val="l"/>
        <c:majorGridlines>
          <c:spPr>
            <a:ln w="9525" cap="flat" cmpd="sng" algn="ctr">
              <a:solidFill>
                <a:schemeClr val="lt1">
                  <a:lumMod val="95000"/>
                  <a:alpha val="10000"/>
                </a:schemeClr>
              </a:solidFill>
              <a:round/>
            </a:ln>
            <a:effectLst/>
          </c:spPr>
        </c:majorGridlines>
        <c:numFmt formatCode="0.000%" sourceLinked="1"/>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75711327"/>
        <c:crosses val="autoZero"/>
        <c:crossBetween val="midCat"/>
      </c:valAx>
      <c:spPr>
        <a:noFill/>
        <a:ln>
          <a:noFill/>
        </a:ln>
        <a:effectLst/>
      </c:spPr>
    </c:plotArea>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Debt Ratio</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scatterChart>
        <c:scatterStyle val="smoothMarker"/>
        <c:varyColors val="0"/>
        <c:ser>
          <c:idx val="0"/>
          <c:order val="0"/>
          <c:tx>
            <c:strRef>
              <c:f>'Year over Year Stats'!$M$1</c:f>
              <c:strCache>
                <c:ptCount val="1"/>
                <c:pt idx="0">
                  <c:v>Debt Ratio</c:v>
                </c:pt>
              </c:strCache>
            </c:strRef>
          </c:tx>
          <c:spPr>
            <a:ln w="95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xVal>
            <c:numRef>
              <c:f>'Year over Year Stats'!$A$2:$A$10</c:f>
              <c:numCache>
                <c:formatCode>0</c:formatCode>
                <c:ptCount val="9"/>
                <c:pt idx="0">
                  <c:v>2017</c:v>
                </c:pt>
                <c:pt idx="1">
                  <c:v>2018</c:v>
                </c:pt>
                <c:pt idx="2">
                  <c:v>2019</c:v>
                </c:pt>
                <c:pt idx="3">
                  <c:v>2020</c:v>
                </c:pt>
                <c:pt idx="4">
                  <c:v>2021</c:v>
                </c:pt>
                <c:pt idx="5">
                  <c:v>2022</c:v>
                </c:pt>
                <c:pt idx="6">
                  <c:v>2023</c:v>
                </c:pt>
                <c:pt idx="7">
                  <c:v>2024</c:v>
                </c:pt>
                <c:pt idx="8">
                  <c:v>2025</c:v>
                </c:pt>
              </c:numCache>
            </c:numRef>
          </c:xVal>
          <c:yVal>
            <c:numRef>
              <c:f>'Year over Year Stats'!$M$2:$M$10</c:f>
              <c:numCache>
                <c:formatCode>0.000%</c:formatCode>
                <c:ptCount val="9"/>
                <c:pt idx="6">
                  <c:v>2.8972082115379189E-2</c:v>
                </c:pt>
                <c:pt idx="7">
                  <c:v>2.4851921463924752E-2</c:v>
                </c:pt>
                <c:pt idx="8">
                  <c:v>1.9075464068598023E-2</c:v>
                </c:pt>
              </c:numCache>
            </c:numRef>
          </c:yVal>
          <c:smooth val="1"/>
          <c:extLst>
            <c:ext xmlns:c16="http://schemas.microsoft.com/office/drawing/2014/chart" uri="{C3380CC4-5D6E-409C-BE32-E72D297353CC}">
              <c16:uniqueId val="{00000004-5EAB-4D6E-B2FA-45AC62122DFD}"/>
            </c:ext>
          </c:extLst>
        </c:ser>
        <c:dLbls>
          <c:showLegendKey val="0"/>
          <c:showVal val="0"/>
          <c:showCatName val="0"/>
          <c:showSerName val="0"/>
          <c:showPercent val="0"/>
          <c:showBubbleSize val="0"/>
        </c:dLbls>
        <c:axId val="975711327"/>
        <c:axId val="975711807"/>
      </c:scatterChart>
      <c:valAx>
        <c:axId val="975711327"/>
        <c:scaling>
          <c:orientation val="minMax"/>
          <c:max val="2025"/>
          <c:min val="2023"/>
        </c:scaling>
        <c:delete val="0"/>
        <c:axPos val="b"/>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75711807"/>
        <c:crosses val="autoZero"/>
        <c:crossBetween val="midCat"/>
      </c:valAx>
      <c:valAx>
        <c:axId val="975711807"/>
        <c:scaling>
          <c:orientation val="minMax"/>
          <c:min val="0"/>
        </c:scaling>
        <c:delete val="0"/>
        <c:axPos val="l"/>
        <c:majorGridlines>
          <c:spPr>
            <a:ln w="9525" cap="flat" cmpd="sng" algn="ctr">
              <a:solidFill>
                <a:schemeClr val="lt1">
                  <a:lumMod val="95000"/>
                  <a:alpha val="10000"/>
                </a:schemeClr>
              </a:solidFill>
              <a:round/>
            </a:ln>
            <a:effectLst/>
          </c:spPr>
        </c:majorGridlines>
        <c:numFmt formatCode="0.000%" sourceLinked="1"/>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75711327"/>
        <c:crosses val="autoZero"/>
        <c:crossBetween val="midCat"/>
      </c:valAx>
      <c:spPr>
        <a:noFill/>
        <a:ln>
          <a:noFill/>
        </a:ln>
        <a:effectLst/>
      </c:spPr>
    </c:plotArea>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48">
  <cs:axisTitle>
    <cs:lnRef idx="0"/>
    <cs:fillRef idx="0"/>
    <cs:effectRef idx="0"/>
    <cs:fontRef idx="minor">
      <a:schemeClr val="lt1">
        <a:lumMod val="75000"/>
      </a:schemeClr>
    </cs:fontRef>
    <cs:defRPr sz="900" b="1" kern="1200" cap="all"/>
  </cs:axisTitle>
  <cs:categoryAxis>
    <cs:lnRef idx="0"/>
    <cs:fillRef idx="0"/>
    <cs:effectRef idx="0"/>
    <cs:fontRef idx="minor">
      <a:schemeClr val="lt1">
        <a:lumMod val="75000"/>
      </a:schemeClr>
    </cs:fontRef>
    <cs:spPr>
      <a:ln w="9525" cap="flat" cmpd="sng" algn="ctr">
        <a:solidFill>
          <a:schemeClr val="lt1">
            <a:lumMod val="50000"/>
          </a:schemeClr>
        </a:solidFill>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spPr>
      <a:ln w="9525" cap="flat" cmpd="sng" algn="ctr">
        <a:solidFill>
          <a:schemeClr val="lt1">
            <a:lumMod val="50000"/>
          </a:schemeClr>
        </a:solidFill>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75000"/>
      </a:schemeClr>
    </cs:fontRef>
    <cs:spPr>
      <a:ln w="9525" cap="flat" cmpd="sng" algn="ctr">
        <a:solidFill>
          <a:schemeClr val="lt1">
            <a:lumMod val="50000"/>
          </a:schemeClr>
        </a:solidFill>
      </a:ln>
    </cs:spPr>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48">
  <cs:axisTitle>
    <cs:lnRef idx="0"/>
    <cs:fillRef idx="0"/>
    <cs:effectRef idx="0"/>
    <cs:fontRef idx="minor">
      <a:schemeClr val="lt1">
        <a:lumMod val="75000"/>
      </a:schemeClr>
    </cs:fontRef>
    <cs:defRPr sz="900" b="1" kern="1200" cap="all"/>
  </cs:axisTitle>
  <cs:categoryAxis>
    <cs:lnRef idx="0"/>
    <cs:fillRef idx="0"/>
    <cs:effectRef idx="0"/>
    <cs:fontRef idx="minor">
      <a:schemeClr val="lt1">
        <a:lumMod val="75000"/>
      </a:schemeClr>
    </cs:fontRef>
    <cs:spPr>
      <a:ln w="9525" cap="flat" cmpd="sng" algn="ctr">
        <a:solidFill>
          <a:schemeClr val="lt1">
            <a:lumMod val="50000"/>
          </a:schemeClr>
        </a:solidFill>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spPr>
      <a:ln w="9525" cap="flat" cmpd="sng" algn="ctr">
        <a:solidFill>
          <a:schemeClr val="lt1">
            <a:lumMod val="50000"/>
          </a:schemeClr>
        </a:solidFill>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75000"/>
      </a:schemeClr>
    </cs:fontRef>
    <cs:spPr>
      <a:ln w="9525" cap="flat" cmpd="sng" algn="ctr">
        <a:solidFill>
          <a:schemeClr val="lt1">
            <a:lumMod val="50000"/>
          </a:schemeClr>
        </a:solidFill>
      </a:ln>
    </cs:spPr>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48">
  <cs:axisTitle>
    <cs:lnRef idx="0"/>
    <cs:fillRef idx="0"/>
    <cs:effectRef idx="0"/>
    <cs:fontRef idx="minor">
      <a:schemeClr val="lt1">
        <a:lumMod val="75000"/>
      </a:schemeClr>
    </cs:fontRef>
    <cs:defRPr sz="900" b="1" kern="1200" cap="all"/>
  </cs:axisTitle>
  <cs:categoryAxis>
    <cs:lnRef idx="0"/>
    <cs:fillRef idx="0"/>
    <cs:effectRef idx="0"/>
    <cs:fontRef idx="minor">
      <a:schemeClr val="lt1">
        <a:lumMod val="75000"/>
      </a:schemeClr>
    </cs:fontRef>
    <cs:spPr>
      <a:ln w="9525" cap="flat" cmpd="sng" algn="ctr">
        <a:solidFill>
          <a:schemeClr val="lt1">
            <a:lumMod val="50000"/>
          </a:schemeClr>
        </a:solidFill>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spPr>
      <a:ln w="9525" cap="flat" cmpd="sng" algn="ctr">
        <a:solidFill>
          <a:schemeClr val="lt1">
            <a:lumMod val="50000"/>
          </a:schemeClr>
        </a:solidFill>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75000"/>
      </a:schemeClr>
    </cs:fontRef>
    <cs:spPr>
      <a:ln w="9525" cap="flat" cmpd="sng" algn="ctr">
        <a:solidFill>
          <a:schemeClr val="lt1">
            <a:lumMod val="50000"/>
          </a:schemeClr>
        </a:solidFill>
      </a:ln>
    </cs:spPr>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48">
  <cs:axisTitle>
    <cs:lnRef idx="0"/>
    <cs:fillRef idx="0"/>
    <cs:effectRef idx="0"/>
    <cs:fontRef idx="minor">
      <a:schemeClr val="lt1">
        <a:lumMod val="75000"/>
      </a:schemeClr>
    </cs:fontRef>
    <cs:defRPr sz="900" b="1" kern="1200" cap="all"/>
  </cs:axisTitle>
  <cs:categoryAxis>
    <cs:lnRef idx="0"/>
    <cs:fillRef idx="0"/>
    <cs:effectRef idx="0"/>
    <cs:fontRef idx="minor">
      <a:schemeClr val="lt1">
        <a:lumMod val="75000"/>
      </a:schemeClr>
    </cs:fontRef>
    <cs:spPr>
      <a:ln w="9525" cap="flat" cmpd="sng" algn="ctr">
        <a:solidFill>
          <a:schemeClr val="lt1">
            <a:lumMod val="50000"/>
          </a:schemeClr>
        </a:solidFill>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spPr>
      <a:ln w="9525" cap="flat" cmpd="sng" algn="ctr">
        <a:solidFill>
          <a:schemeClr val="lt1">
            <a:lumMod val="50000"/>
          </a:schemeClr>
        </a:solidFill>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75000"/>
      </a:schemeClr>
    </cs:fontRef>
    <cs:spPr>
      <a:ln w="9525" cap="flat" cmpd="sng" algn="ctr">
        <a:solidFill>
          <a:schemeClr val="lt1">
            <a:lumMod val="50000"/>
          </a:schemeClr>
        </a:solidFill>
      </a:ln>
    </cs:spPr>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48">
  <cs:axisTitle>
    <cs:lnRef idx="0"/>
    <cs:fillRef idx="0"/>
    <cs:effectRef idx="0"/>
    <cs:fontRef idx="minor">
      <a:schemeClr val="lt1">
        <a:lumMod val="75000"/>
      </a:schemeClr>
    </cs:fontRef>
    <cs:defRPr sz="900" b="1" kern="1200" cap="all"/>
  </cs:axisTitle>
  <cs:categoryAxis>
    <cs:lnRef idx="0"/>
    <cs:fillRef idx="0"/>
    <cs:effectRef idx="0"/>
    <cs:fontRef idx="minor">
      <a:schemeClr val="lt1">
        <a:lumMod val="75000"/>
      </a:schemeClr>
    </cs:fontRef>
    <cs:spPr>
      <a:ln w="9525" cap="flat" cmpd="sng" algn="ctr">
        <a:solidFill>
          <a:schemeClr val="lt1">
            <a:lumMod val="50000"/>
          </a:schemeClr>
        </a:solidFill>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spPr>
      <a:ln w="9525" cap="flat" cmpd="sng" algn="ctr">
        <a:solidFill>
          <a:schemeClr val="lt1">
            <a:lumMod val="50000"/>
          </a:schemeClr>
        </a:solidFill>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75000"/>
      </a:schemeClr>
    </cs:fontRef>
    <cs:spPr>
      <a:ln w="9525" cap="flat" cmpd="sng" algn="ctr">
        <a:solidFill>
          <a:schemeClr val="lt1">
            <a:lumMod val="50000"/>
          </a:schemeClr>
        </a:solidFill>
      </a:ln>
    </cs:spPr>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48">
  <cs:axisTitle>
    <cs:lnRef idx="0"/>
    <cs:fillRef idx="0"/>
    <cs:effectRef idx="0"/>
    <cs:fontRef idx="minor">
      <a:schemeClr val="lt1">
        <a:lumMod val="75000"/>
      </a:schemeClr>
    </cs:fontRef>
    <cs:defRPr sz="900" b="1" kern="1200" cap="all"/>
  </cs:axisTitle>
  <cs:categoryAxis>
    <cs:lnRef idx="0"/>
    <cs:fillRef idx="0"/>
    <cs:effectRef idx="0"/>
    <cs:fontRef idx="minor">
      <a:schemeClr val="lt1">
        <a:lumMod val="75000"/>
      </a:schemeClr>
    </cs:fontRef>
    <cs:spPr>
      <a:ln w="9525" cap="flat" cmpd="sng" algn="ctr">
        <a:solidFill>
          <a:schemeClr val="lt1">
            <a:lumMod val="50000"/>
          </a:schemeClr>
        </a:solidFill>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spPr>
      <a:ln w="9525" cap="flat" cmpd="sng" algn="ctr">
        <a:solidFill>
          <a:schemeClr val="lt1">
            <a:lumMod val="50000"/>
          </a:schemeClr>
        </a:solidFill>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75000"/>
      </a:schemeClr>
    </cs:fontRef>
    <cs:spPr>
      <a:ln w="9525" cap="flat" cmpd="sng" algn="ctr">
        <a:solidFill>
          <a:schemeClr val="lt1">
            <a:lumMod val="50000"/>
          </a:schemeClr>
        </a:solidFill>
      </a:ln>
    </cs:spPr>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48">
  <cs:axisTitle>
    <cs:lnRef idx="0"/>
    <cs:fillRef idx="0"/>
    <cs:effectRef idx="0"/>
    <cs:fontRef idx="minor">
      <a:schemeClr val="lt1">
        <a:lumMod val="75000"/>
      </a:schemeClr>
    </cs:fontRef>
    <cs:defRPr sz="900" b="1" kern="1200" cap="all"/>
  </cs:axisTitle>
  <cs:categoryAxis>
    <cs:lnRef idx="0"/>
    <cs:fillRef idx="0"/>
    <cs:effectRef idx="0"/>
    <cs:fontRef idx="minor">
      <a:schemeClr val="lt1">
        <a:lumMod val="75000"/>
      </a:schemeClr>
    </cs:fontRef>
    <cs:spPr>
      <a:ln w="9525" cap="flat" cmpd="sng" algn="ctr">
        <a:solidFill>
          <a:schemeClr val="lt1">
            <a:lumMod val="50000"/>
          </a:schemeClr>
        </a:solidFill>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spPr>
      <a:ln w="9525" cap="flat" cmpd="sng" algn="ctr">
        <a:solidFill>
          <a:schemeClr val="lt1">
            <a:lumMod val="50000"/>
          </a:schemeClr>
        </a:solidFill>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75000"/>
      </a:schemeClr>
    </cs:fontRef>
    <cs:spPr>
      <a:ln w="9525" cap="flat" cmpd="sng" algn="ctr">
        <a:solidFill>
          <a:schemeClr val="lt1">
            <a:lumMod val="50000"/>
          </a:schemeClr>
        </a:solidFill>
      </a:ln>
    </cs:spPr>
    <cs:defRPr sz="900" kern="12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48">
  <cs:axisTitle>
    <cs:lnRef idx="0"/>
    <cs:fillRef idx="0"/>
    <cs:effectRef idx="0"/>
    <cs:fontRef idx="minor">
      <a:schemeClr val="lt1">
        <a:lumMod val="75000"/>
      </a:schemeClr>
    </cs:fontRef>
    <cs:defRPr sz="900" b="1" kern="1200" cap="all"/>
  </cs:axisTitle>
  <cs:categoryAxis>
    <cs:lnRef idx="0"/>
    <cs:fillRef idx="0"/>
    <cs:effectRef idx="0"/>
    <cs:fontRef idx="minor">
      <a:schemeClr val="lt1">
        <a:lumMod val="75000"/>
      </a:schemeClr>
    </cs:fontRef>
    <cs:spPr>
      <a:ln w="9525" cap="flat" cmpd="sng" algn="ctr">
        <a:solidFill>
          <a:schemeClr val="lt1">
            <a:lumMod val="50000"/>
          </a:schemeClr>
        </a:solidFill>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spPr>
      <a:ln w="9525" cap="flat" cmpd="sng" algn="ctr">
        <a:solidFill>
          <a:schemeClr val="lt1">
            <a:lumMod val="50000"/>
          </a:schemeClr>
        </a:solidFill>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75000"/>
      </a:schemeClr>
    </cs:fontRef>
    <cs:spPr>
      <a:ln w="9525" cap="flat" cmpd="sng" algn="ctr">
        <a:solidFill>
          <a:schemeClr val="lt1">
            <a:lumMod val="50000"/>
          </a:schemeClr>
        </a:solidFill>
      </a:ln>
    </cs:spPr>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image" Target="../media/image3.png"/><Relationship Id="rId4" Type="http://schemas.openxmlformats.org/officeDocument/2006/relationships/image" Target="../media/image2.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chart" Target="../charts/chart4.xml"/><Relationship Id="rId1" Type="http://schemas.openxmlformats.org/officeDocument/2006/relationships/chart" Target="../charts/chart3.xml"/><Relationship Id="rId5" Type="http://schemas.openxmlformats.org/officeDocument/2006/relationships/image" Target="../media/image6.png"/><Relationship Id="rId4" Type="http://schemas.openxmlformats.org/officeDocument/2006/relationships/image" Target="../media/image5.png"/></Relationships>
</file>

<file path=xl/drawings/_rels/drawing3.xml.rels><?xml version="1.0" encoding="UTF-8" standalone="yes"?>
<Relationships xmlns="http://schemas.openxmlformats.org/package/2006/relationships"><Relationship Id="rId8" Type="http://schemas.openxmlformats.org/officeDocument/2006/relationships/chart" Target="../charts/chart12.xml"/><Relationship Id="rId3" Type="http://schemas.openxmlformats.org/officeDocument/2006/relationships/chart" Target="../charts/chart7.xml"/><Relationship Id="rId7" Type="http://schemas.openxmlformats.org/officeDocument/2006/relationships/chart" Target="../charts/chart11.xml"/><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chart" Target="../charts/chart10.xml"/><Relationship Id="rId5" Type="http://schemas.openxmlformats.org/officeDocument/2006/relationships/chart" Target="../charts/chart9.xml"/><Relationship Id="rId4" Type="http://schemas.openxmlformats.org/officeDocument/2006/relationships/chart" Target="../charts/chart8.xml"/><Relationship Id="rId9"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1</xdr:col>
      <xdr:colOff>19049</xdr:colOff>
      <xdr:row>63</xdr:row>
      <xdr:rowOff>9524</xdr:rowOff>
    </xdr:from>
    <xdr:to>
      <xdr:col>9</xdr:col>
      <xdr:colOff>1257300</xdr:colOff>
      <xdr:row>87</xdr:row>
      <xdr:rowOff>9525</xdr:rowOff>
    </xdr:to>
    <xdr:graphicFrame macro="">
      <xdr:nvGraphicFramePr>
        <xdr:cNvPr id="2" name="Chart 1">
          <a:extLst>
            <a:ext uri="{FF2B5EF4-FFF2-40B4-BE49-F238E27FC236}">
              <a16:creationId xmlns:a16="http://schemas.microsoft.com/office/drawing/2014/main" id="{CE998FCE-B3DA-45FC-8EEC-D8E9536D5C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1100136</xdr:colOff>
      <xdr:row>62</xdr:row>
      <xdr:rowOff>223837</xdr:rowOff>
    </xdr:from>
    <xdr:to>
      <xdr:col>22</xdr:col>
      <xdr:colOff>723900</xdr:colOff>
      <xdr:row>87</xdr:row>
      <xdr:rowOff>9525</xdr:rowOff>
    </xdr:to>
    <xdr:graphicFrame macro="">
      <xdr:nvGraphicFramePr>
        <xdr:cNvPr id="3" name="Chart 2">
          <a:extLst>
            <a:ext uri="{FF2B5EF4-FFF2-40B4-BE49-F238E27FC236}">
              <a16:creationId xmlns:a16="http://schemas.microsoft.com/office/drawing/2014/main" id="{46081994-0857-4519-A142-5AFB24D431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0</xdr:colOff>
      <xdr:row>89</xdr:row>
      <xdr:rowOff>0</xdr:rowOff>
    </xdr:from>
    <xdr:to>
      <xdr:col>7</xdr:col>
      <xdr:colOff>686761</xdr:colOff>
      <xdr:row>120</xdr:row>
      <xdr:rowOff>58065</xdr:rowOff>
    </xdr:to>
    <xdr:pic>
      <xdr:nvPicPr>
        <xdr:cNvPr id="8" name="Picture 7">
          <a:extLst>
            <a:ext uri="{FF2B5EF4-FFF2-40B4-BE49-F238E27FC236}">
              <a16:creationId xmlns:a16="http://schemas.microsoft.com/office/drawing/2014/main" id="{1CA7CE54-5740-C4B3-DC43-0A4A0591C97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33450" y="21602700"/>
          <a:ext cx="6887536" cy="6554115"/>
        </a:xfrm>
        <a:prstGeom prst="rect">
          <a:avLst/>
        </a:prstGeom>
      </xdr:spPr>
    </xdr:pic>
    <xdr:clientData/>
  </xdr:twoCellAnchor>
  <xdr:twoCellAnchor editAs="oneCell">
    <xdr:from>
      <xdr:col>9</xdr:col>
      <xdr:colOff>0</xdr:colOff>
      <xdr:row>89</xdr:row>
      <xdr:rowOff>0</xdr:rowOff>
    </xdr:from>
    <xdr:to>
      <xdr:col>15</xdr:col>
      <xdr:colOff>905843</xdr:colOff>
      <xdr:row>119</xdr:row>
      <xdr:rowOff>115193</xdr:rowOff>
    </xdr:to>
    <xdr:pic>
      <xdr:nvPicPr>
        <xdr:cNvPr id="10" name="Picture 9">
          <a:extLst>
            <a:ext uri="{FF2B5EF4-FFF2-40B4-BE49-F238E27FC236}">
              <a16:creationId xmlns:a16="http://schemas.microsoft.com/office/drawing/2014/main" id="{F9900452-115F-F6C5-1C2D-8C788340399E}"/>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8953500" y="21602700"/>
          <a:ext cx="6935168" cy="6401693"/>
        </a:xfrm>
        <a:prstGeom prst="rect">
          <a:avLst/>
        </a:prstGeom>
      </xdr:spPr>
    </xdr:pic>
    <xdr:clientData/>
  </xdr:twoCellAnchor>
  <xdr:twoCellAnchor editAs="oneCell">
    <xdr:from>
      <xdr:col>18</xdr:col>
      <xdr:colOff>0</xdr:colOff>
      <xdr:row>89</xdr:row>
      <xdr:rowOff>0</xdr:rowOff>
    </xdr:from>
    <xdr:to>
      <xdr:col>25</xdr:col>
      <xdr:colOff>734389</xdr:colOff>
      <xdr:row>119</xdr:row>
      <xdr:rowOff>48509</xdr:rowOff>
    </xdr:to>
    <xdr:pic>
      <xdr:nvPicPr>
        <xdr:cNvPr id="12" name="Picture 11">
          <a:extLst>
            <a:ext uri="{FF2B5EF4-FFF2-40B4-BE49-F238E27FC236}">
              <a16:creationId xmlns:a16="http://schemas.microsoft.com/office/drawing/2014/main" id="{F4F122F7-3F80-824B-AA83-71347F5751E1}"/>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7859375" y="21602700"/>
          <a:ext cx="6906589" cy="633500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19049</xdr:colOff>
      <xdr:row>63</xdr:row>
      <xdr:rowOff>9524</xdr:rowOff>
    </xdr:from>
    <xdr:to>
      <xdr:col>9</xdr:col>
      <xdr:colOff>1257300</xdr:colOff>
      <xdr:row>87</xdr:row>
      <xdr:rowOff>9525</xdr:rowOff>
    </xdr:to>
    <xdr:graphicFrame macro="">
      <xdr:nvGraphicFramePr>
        <xdr:cNvPr id="2" name="Chart 1">
          <a:extLst>
            <a:ext uri="{FF2B5EF4-FFF2-40B4-BE49-F238E27FC236}">
              <a16:creationId xmlns:a16="http://schemas.microsoft.com/office/drawing/2014/main" id="{38FDAB8B-25CC-4C79-B1BA-7CC730262F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1100136</xdr:colOff>
      <xdr:row>62</xdr:row>
      <xdr:rowOff>223837</xdr:rowOff>
    </xdr:from>
    <xdr:to>
      <xdr:col>22</xdr:col>
      <xdr:colOff>723900</xdr:colOff>
      <xdr:row>87</xdr:row>
      <xdr:rowOff>9525</xdr:rowOff>
    </xdr:to>
    <xdr:graphicFrame macro="">
      <xdr:nvGraphicFramePr>
        <xdr:cNvPr id="3" name="Chart 2">
          <a:extLst>
            <a:ext uri="{FF2B5EF4-FFF2-40B4-BE49-F238E27FC236}">
              <a16:creationId xmlns:a16="http://schemas.microsoft.com/office/drawing/2014/main" id="{F30D97C1-AFCF-41F8-A652-7B026AB5C6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876300</xdr:colOff>
      <xdr:row>89</xdr:row>
      <xdr:rowOff>38100</xdr:rowOff>
    </xdr:from>
    <xdr:to>
      <xdr:col>7</xdr:col>
      <xdr:colOff>648664</xdr:colOff>
      <xdr:row>119</xdr:row>
      <xdr:rowOff>67556</xdr:rowOff>
    </xdr:to>
    <xdr:pic>
      <xdr:nvPicPr>
        <xdr:cNvPr id="8" name="Picture 7">
          <a:extLst>
            <a:ext uri="{FF2B5EF4-FFF2-40B4-BE49-F238E27FC236}">
              <a16:creationId xmlns:a16="http://schemas.microsoft.com/office/drawing/2014/main" id="{2B686EE4-1CF3-DB1E-7B64-F015AE93A889}"/>
            </a:ext>
          </a:extLst>
        </xdr:cNvPr>
        <xdr:cNvPicPr>
          <a:picLocks noChangeAspect="1"/>
        </xdr:cNvPicPr>
      </xdr:nvPicPr>
      <xdr:blipFill>
        <a:blip xmlns:r="http://schemas.openxmlformats.org/officeDocument/2006/relationships" r:embed="rId3"/>
        <a:stretch>
          <a:fillRect/>
        </a:stretch>
      </xdr:blipFill>
      <xdr:spPr>
        <a:xfrm>
          <a:off x="876300" y="21640800"/>
          <a:ext cx="6906589" cy="6315956"/>
        </a:xfrm>
        <a:prstGeom prst="rect">
          <a:avLst/>
        </a:prstGeom>
      </xdr:spPr>
    </xdr:pic>
    <xdr:clientData/>
  </xdr:twoCellAnchor>
  <xdr:twoCellAnchor editAs="oneCell">
    <xdr:from>
      <xdr:col>9</xdr:col>
      <xdr:colOff>0</xdr:colOff>
      <xdr:row>89</xdr:row>
      <xdr:rowOff>0</xdr:rowOff>
    </xdr:from>
    <xdr:to>
      <xdr:col>15</xdr:col>
      <xdr:colOff>934422</xdr:colOff>
      <xdr:row>119</xdr:row>
      <xdr:rowOff>58035</xdr:rowOff>
    </xdr:to>
    <xdr:pic>
      <xdr:nvPicPr>
        <xdr:cNvPr id="11" name="Picture 10">
          <a:extLst>
            <a:ext uri="{FF2B5EF4-FFF2-40B4-BE49-F238E27FC236}">
              <a16:creationId xmlns:a16="http://schemas.microsoft.com/office/drawing/2014/main" id="{12A8B88E-A221-7148-2250-D91B4F5ACD65}"/>
            </a:ext>
          </a:extLst>
        </xdr:cNvPr>
        <xdr:cNvPicPr>
          <a:picLocks noChangeAspect="1"/>
        </xdr:cNvPicPr>
      </xdr:nvPicPr>
      <xdr:blipFill>
        <a:blip xmlns:r="http://schemas.openxmlformats.org/officeDocument/2006/relationships" r:embed="rId4"/>
        <a:stretch>
          <a:fillRect/>
        </a:stretch>
      </xdr:blipFill>
      <xdr:spPr>
        <a:xfrm>
          <a:off x="8934450" y="21602700"/>
          <a:ext cx="6963747" cy="6344535"/>
        </a:xfrm>
        <a:prstGeom prst="rect">
          <a:avLst/>
        </a:prstGeom>
      </xdr:spPr>
    </xdr:pic>
    <xdr:clientData/>
  </xdr:twoCellAnchor>
  <xdr:twoCellAnchor editAs="oneCell">
    <xdr:from>
      <xdr:col>17</xdr:col>
      <xdr:colOff>0</xdr:colOff>
      <xdr:row>89</xdr:row>
      <xdr:rowOff>0</xdr:rowOff>
    </xdr:from>
    <xdr:to>
      <xdr:col>24</xdr:col>
      <xdr:colOff>801069</xdr:colOff>
      <xdr:row>119</xdr:row>
      <xdr:rowOff>38983</xdr:rowOff>
    </xdr:to>
    <xdr:pic>
      <xdr:nvPicPr>
        <xdr:cNvPr id="12" name="Picture 11">
          <a:extLst>
            <a:ext uri="{FF2B5EF4-FFF2-40B4-BE49-F238E27FC236}">
              <a16:creationId xmlns:a16="http://schemas.microsoft.com/office/drawing/2014/main" id="{BA918C11-BF13-ABA9-88A3-E87441999D0D}"/>
            </a:ext>
          </a:extLst>
        </xdr:cNvPr>
        <xdr:cNvPicPr>
          <a:picLocks noChangeAspect="1"/>
        </xdr:cNvPicPr>
      </xdr:nvPicPr>
      <xdr:blipFill>
        <a:blip xmlns:r="http://schemas.openxmlformats.org/officeDocument/2006/relationships" r:embed="rId5"/>
        <a:stretch>
          <a:fillRect/>
        </a:stretch>
      </xdr:blipFill>
      <xdr:spPr>
        <a:xfrm>
          <a:off x="16973550" y="21602700"/>
          <a:ext cx="6944694" cy="632548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16</xdr:row>
      <xdr:rowOff>4762</xdr:rowOff>
    </xdr:from>
    <xdr:to>
      <xdr:col>5</xdr:col>
      <xdr:colOff>504825</xdr:colOff>
      <xdr:row>30</xdr:row>
      <xdr:rowOff>80962</xdr:rowOff>
    </xdr:to>
    <xdr:graphicFrame macro="">
      <xdr:nvGraphicFramePr>
        <xdr:cNvPr id="3" name="Chart 2">
          <a:extLst>
            <a:ext uri="{FF2B5EF4-FFF2-40B4-BE49-F238E27FC236}">
              <a16:creationId xmlns:a16="http://schemas.microsoft.com/office/drawing/2014/main" id="{7300235F-5890-1628-9263-13856EA44F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4762</xdr:colOff>
      <xdr:row>16</xdr:row>
      <xdr:rowOff>4762</xdr:rowOff>
    </xdr:from>
    <xdr:to>
      <xdr:col>11</xdr:col>
      <xdr:colOff>814387</xdr:colOff>
      <xdr:row>30</xdr:row>
      <xdr:rowOff>80962</xdr:rowOff>
    </xdr:to>
    <xdr:graphicFrame macro="">
      <xdr:nvGraphicFramePr>
        <xdr:cNvPr id="4" name="Chart 3">
          <a:extLst>
            <a:ext uri="{FF2B5EF4-FFF2-40B4-BE49-F238E27FC236}">
              <a16:creationId xmlns:a16="http://schemas.microsoft.com/office/drawing/2014/main" id="{BFB7D765-7797-688B-D20C-F9DB7F2F36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14287</xdr:colOff>
      <xdr:row>16</xdr:row>
      <xdr:rowOff>4762</xdr:rowOff>
    </xdr:from>
    <xdr:to>
      <xdr:col>19</xdr:col>
      <xdr:colOff>90487</xdr:colOff>
      <xdr:row>30</xdr:row>
      <xdr:rowOff>80962</xdr:rowOff>
    </xdr:to>
    <xdr:graphicFrame macro="">
      <xdr:nvGraphicFramePr>
        <xdr:cNvPr id="5" name="Chart 4">
          <a:extLst>
            <a:ext uri="{FF2B5EF4-FFF2-40B4-BE49-F238E27FC236}">
              <a16:creationId xmlns:a16="http://schemas.microsoft.com/office/drawing/2014/main" id="{6568379E-28BC-6AE9-92E5-C7481D794C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14287</xdr:colOff>
      <xdr:row>32</xdr:row>
      <xdr:rowOff>33337</xdr:rowOff>
    </xdr:from>
    <xdr:to>
      <xdr:col>5</xdr:col>
      <xdr:colOff>519112</xdr:colOff>
      <xdr:row>46</xdr:row>
      <xdr:rowOff>109537</xdr:rowOff>
    </xdr:to>
    <xdr:graphicFrame macro="">
      <xdr:nvGraphicFramePr>
        <xdr:cNvPr id="6" name="Chart 5">
          <a:extLst>
            <a:ext uri="{FF2B5EF4-FFF2-40B4-BE49-F238E27FC236}">
              <a16:creationId xmlns:a16="http://schemas.microsoft.com/office/drawing/2014/main" id="{86C155D0-1C38-466D-14D1-4E0C5AEC9E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1290637</xdr:colOff>
      <xdr:row>32</xdr:row>
      <xdr:rowOff>14287</xdr:rowOff>
    </xdr:from>
    <xdr:to>
      <xdr:col>11</xdr:col>
      <xdr:colOff>795337</xdr:colOff>
      <xdr:row>46</xdr:row>
      <xdr:rowOff>90487</xdr:rowOff>
    </xdr:to>
    <xdr:graphicFrame macro="">
      <xdr:nvGraphicFramePr>
        <xdr:cNvPr id="7" name="Chart 6">
          <a:extLst>
            <a:ext uri="{FF2B5EF4-FFF2-40B4-BE49-F238E27FC236}">
              <a16:creationId xmlns:a16="http://schemas.microsoft.com/office/drawing/2014/main" id="{A42EEFF5-D42F-F196-23BF-7C5AD8E3EC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23812</xdr:colOff>
      <xdr:row>31</xdr:row>
      <xdr:rowOff>185737</xdr:rowOff>
    </xdr:from>
    <xdr:to>
      <xdr:col>19</xdr:col>
      <xdr:colOff>100012</xdr:colOff>
      <xdr:row>46</xdr:row>
      <xdr:rowOff>71437</xdr:rowOff>
    </xdr:to>
    <xdr:graphicFrame macro="">
      <xdr:nvGraphicFramePr>
        <xdr:cNvPr id="8" name="Chart 7">
          <a:extLst>
            <a:ext uri="{FF2B5EF4-FFF2-40B4-BE49-F238E27FC236}">
              <a16:creationId xmlns:a16="http://schemas.microsoft.com/office/drawing/2014/main" id="{D8C68FDC-4004-2637-F1A5-E53052C182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48</xdr:row>
      <xdr:rowOff>23812</xdr:rowOff>
    </xdr:from>
    <xdr:to>
      <xdr:col>5</xdr:col>
      <xdr:colOff>504825</xdr:colOff>
      <xdr:row>62</xdr:row>
      <xdr:rowOff>100012</xdr:rowOff>
    </xdr:to>
    <xdr:graphicFrame macro="">
      <xdr:nvGraphicFramePr>
        <xdr:cNvPr id="9" name="Chart 8">
          <a:extLst>
            <a:ext uri="{FF2B5EF4-FFF2-40B4-BE49-F238E27FC236}">
              <a16:creationId xmlns:a16="http://schemas.microsoft.com/office/drawing/2014/main" id="{9AAD0677-C5F3-97F7-40F4-D80E123070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4762</xdr:colOff>
      <xdr:row>48</xdr:row>
      <xdr:rowOff>4762</xdr:rowOff>
    </xdr:from>
    <xdr:to>
      <xdr:col>11</xdr:col>
      <xdr:colOff>814387</xdr:colOff>
      <xdr:row>62</xdr:row>
      <xdr:rowOff>80962</xdr:rowOff>
    </xdr:to>
    <xdr:graphicFrame macro="">
      <xdr:nvGraphicFramePr>
        <xdr:cNvPr id="10" name="Chart 9">
          <a:extLst>
            <a:ext uri="{FF2B5EF4-FFF2-40B4-BE49-F238E27FC236}">
              <a16:creationId xmlns:a16="http://schemas.microsoft.com/office/drawing/2014/main" id="{8A1FA3B7-3A0B-1134-BCF7-9B4E0728A9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12</xdr:col>
      <xdr:colOff>14287</xdr:colOff>
      <xdr:row>48</xdr:row>
      <xdr:rowOff>4762</xdr:rowOff>
    </xdr:from>
    <xdr:to>
      <xdr:col>19</xdr:col>
      <xdr:colOff>90487</xdr:colOff>
      <xdr:row>62</xdr:row>
      <xdr:rowOff>80962</xdr:rowOff>
    </xdr:to>
    <xdr:graphicFrame macro="">
      <xdr:nvGraphicFramePr>
        <xdr:cNvPr id="11" name="Chart 10">
          <a:extLst>
            <a:ext uri="{FF2B5EF4-FFF2-40B4-BE49-F238E27FC236}">
              <a16:creationId xmlns:a16="http://schemas.microsoft.com/office/drawing/2014/main" id="{73764A6D-5AA0-9D2C-8E2C-6A16447B32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Cave Arnold" id="{7DBE61F6-1BA5-4407-8B6E-65499799D8BA}" userId="2dde8b3d8b4a230b" providerId="Windows Live"/>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2" dT="2022-12-16T02:32:15.23" personId="{7DBE61F6-1BA5-4407-8B6E-65499799D8BA}" id="{74277917-27D5-4174-843E-068A13513872}">
    <text>Initial Start date of major period, normally one year.</text>
  </threadedComment>
  <threadedComment ref="B2" dT="2022-12-16T02:34:08.28" personId="{7DBE61F6-1BA5-4407-8B6E-65499799D8BA}" id="{AB2239B2-4F2F-4822-86A1-48C0AC8FB86D}">
    <text>Balance of all taxable assets for each sub period.</text>
  </threadedComment>
  <threadedComment ref="D2" dT="2022-12-16T02:35:11.17" personId="{7DBE61F6-1BA5-4407-8B6E-65499799D8BA}" id="{A6AA39C3-CD75-4C91-B1AE-100B4A7ADC98}">
    <text>Balance of all tax free assets for each sub period.</text>
  </threadedComment>
  <threadedComment ref="F2" dT="2022-12-16T02:35:53.47" personId="{7DBE61F6-1BA5-4407-8B6E-65499799D8BA}" id="{01146590-1AEA-4E64-8861-16535BA30DE6}">
    <text>Balance of all tax deferred assets for each sub period.</text>
  </threadedComment>
  <threadedComment ref="H2" dT="2022-12-16T02:37:04.90" personId="{7DBE61F6-1BA5-4407-8B6E-65499799D8BA}" id="{E19EA085-1A5C-4FC3-B925-661525B63D90}">
    <text>Balance of all cash assets for each sub period.</text>
  </threadedComment>
  <threadedComment ref="M2" dT="2022-12-16T02:37:46.55" personId="{7DBE61F6-1BA5-4407-8B6E-65499799D8BA}" id="{B7310141-DD59-4604-9BE1-546685EB58C8}">
    <text>Number of sub periods to be calculated.</text>
  </threadedComment>
  <threadedComment ref="N2" dT="2022-12-16T02:43:39.46" personId="{7DBE61F6-1BA5-4407-8B6E-65499799D8BA}" id="{626FF2FC-A3AC-42CC-AF2B-3BF78639256E}">
    <text>CPI-U for sub period. I pull these numbers from here: https://www.bls.gov/cpi/latest-numbers.htm. I use CPI-U, US CITY AVERAGE, ALL ITEMS NSA.</text>
  </threadedComment>
  <threadedComment ref="O2" dT="2022-12-16T02:47:23.42" personId="{7DBE61F6-1BA5-4407-8B6E-65499799D8BA}" id="{93AEA1A0-B6D9-45EF-91D0-75A49093CDDA}">
    <text>Initial withdrawal rate. Using the GK guardrails you may use a higher withdrawal rate as it will correct up or down between the limits you set.</text>
  </threadedComment>
  <threadedComment ref="R2" dT="2022-12-16T02:48:20.70" personId="{7DBE61F6-1BA5-4407-8B6E-65499799D8BA}" id="{65B89D0B-2F92-44D7-933D-05828BFE959A}">
    <text>Upper limit guardrail.</text>
  </threadedComment>
  <threadedComment ref="T2" dT="2022-12-16T02:48:46.62" personId="{7DBE61F6-1BA5-4407-8B6E-65499799D8BA}" id="{1759DA1D-6716-41F1-BD99-72D0722671D4}">
    <text>Lower limit guardrail.</text>
  </threadedComment>
  <threadedComment ref="V2" dT="2022-12-16T02:50:06.13" personId="{7DBE61F6-1BA5-4407-8B6E-65499799D8BA}" id="{D6D61386-B309-4F8A-866C-80E33823B299}">
    <text>GK pay raise if paycheck is below lower limit.</text>
  </threadedComment>
  <threadedComment ref="W2" dT="2022-12-16T02:50:52.67" personId="{7DBE61F6-1BA5-4407-8B6E-65499799D8BA}" id="{7D8A3887-1AE9-46EC-8513-3370CF94F39D}">
    <text>GK cut if paycheck is greater than upper limit.</text>
  </threadedComment>
  <threadedComment ref="AC2" dT="2022-12-16T03:00:10.17" personId="{7DBE61F6-1BA5-4407-8B6E-65499799D8BA}" id="{194962E0-389F-4F99-888B-1D04C1289A09}">
    <text>This is your annual pension amount divided by number of annual periods considered.</text>
  </threadedComment>
  <threadedComment ref="AE2" dT="2022-12-16T03:01:43.29" personId="{7DBE61F6-1BA5-4407-8B6E-65499799D8BA}" id="{E03B3C0D-4918-473A-8E85-A7E94E24E508}">
    <text>This is your annual social security benefit amount divided by number of annual periods considered.</text>
  </threadedComment>
  <threadedComment ref="AH2" dT="2022-12-16T03:02:55.84" personId="{7DBE61F6-1BA5-4407-8B6E-65499799D8BA}" id="{1392407A-A781-45E4-919D-B6E156C75C22}">
    <text>This is your ROTH conversion amount for this period.</text>
  </threadedComment>
  <threadedComment ref="AJ2" dT="2022-12-16T03:03:49.75" personId="{7DBE61F6-1BA5-4407-8B6E-65499799D8BA}" id="{8A9F74DE-C66C-4898-BC9B-ED3CC7740540}">
    <text>Any other income each period.</text>
  </threadedComment>
  <threadedComment ref="AO2" dT="2023-02-23T03:28:04.13" personId="{7DBE61F6-1BA5-4407-8B6E-65499799D8BA}" id="{F3234B69-7F0E-4194-9B9F-36F00F5E830F}">
    <text>Cash Flow minus taxes report in Quicken (Less Federal, State and Local Taxes only)</text>
  </threadedComment>
  <threadedComment ref="AQ2" dT="2022-12-16T02:55:08.45" personId="{7DBE61F6-1BA5-4407-8B6E-65499799D8BA}" id="{9C7BA716-C59B-4948-B286-A20A3FDE8F2C}">
    <text>Percent of pay to be reinvested. In my case I reinvest in my taxable as it is hyper tax efficient using Indexed ETFs and Wealthfront's parametric rebalancing and tax loss harvesting.</text>
  </threadedComment>
  <threadedComment ref="AT2" dT="2022-12-16T02:56:32.86" personId="{7DBE61F6-1BA5-4407-8B6E-65499799D8BA}" id="{CB37BA3E-C138-4CC3-BC6C-A976AFA00C67}">
    <text>Cash saved to be pulled for spending when markets are performing poorly.</text>
  </threadedComment>
  <threadedComment ref="AZ2" dT="2022-12-16T03:07:52.02" personId="{7DBE61F6-1BA5-4407-8B6E-65499799D8BA}" id="{10369F94-418F-40C3-9CB8-FDEAA6434A80}">
    <text>Federal Tax bracket to fill up.</text>
  </threadedComment>
  <threadedComment ref="D30" dT="2025-07-20T17:03:35.31" personId="{7DBE61F6-1BA5-4407-8B6E-65499799D8BA}" id="{BC33C211-BA54-4C1E-B6F9-8CCBDC6E161A}">
    <text>$230,701.65 on it’s way from Voya to Wealthfront via Check in snail mail.</text>
  </threadedComment>
  <threadedComment ref="AW55" dT="2023-03-06T00:50:07.50" personId="{7DBE61F6-1BA5-4407-8B6E-65499799D8BA}" id="{507CC15D-F6D6-4AE2-92F2-C3C348B008AA}">
    <text>Estimated total tax deductions. I normally use the last years as a starting point.</text>
  </threadedComment>
  <threadedComment ref="L58" dT="2023-05-27T14:44:23.71" personId="{7DBE61F6-1BA5-4407-8B6E-65499799D8BA}" id="{2BA5E361-C373-484C-8AAB-601CC70DEA0C}">
    <text>Normalization target.</text>
  </threadedComment>
  <threadedComment ref="L60" dT="2023-05-27T14:46:20.40" personId="{7DBE61F6-1BA5-4407-8B6E-65499799D8BA}" id="{BB9D0C82-0B74-4768-90D7-6BEB10B210AA}">
    <text>Copy calculated factor and paste value to apply to all fixed entry amounts.</text>
  </threadedComment>
  <threadedComment ref="AC63" dT="2025-01-05T15:15:53.13" personId="{7DBE61F6-1BA5-4407-8B6E-65499799D8BA}" id="{56A46377-9014-4ADF-ABE6-127D189A5BE0}">
    <text>Lump Sum</text>
  </threadedComment>
</ThreadedComments>
</file>

<file path=xl/threadedComments/threadedComment2.xml><?xml version="1.0" encoding="utf-8"?>
<ThreadedComments xmlns="http://schemas.microsoft.com/office/spreadsheetml/2018/threadedcomments" xmlns:x="http://schemas.openxmlformats.org/spreadsheetml/2006/main">
  <threadedComment ref="A2" dT="2022-12-16T02:32:15.23" personId="{7DBE61F6-1BA5-4407-8B6E-65499799D8BA}" id="{B59EE9FA-9D11-4F71-9D78-A54F7D8ED6B6}">
    <text>Initial Start date of major period, normally one year.</text>
  </threadedComment>
  <threadedComment ref="B2" dT="2022-12-16T02:34:08.28" personId="{7DBE61F6-1BA5-4407-8B6E-65499799D8BA}" id="{808020E8-D256-4E94-9DE7-63AA3DA3A617}">
    <text>Balance of all taxable assets for each sub period.</text>
  </threadedComment>
  <threadedComment ref="D2" dT="2022-12-16T02:35:11.17" personId="{7DBE61F6-1BA5-4407-8B6E-65499799D8BA}" id="{B009DBA6-758D-469F-99F1-513FF7F691EF}">
    <text>Balance of all tax free assets for each sub period.</text>
  </threadedComment>
  <threadedComment ref="F2" dT="2022-12-16T02:35:53.47" personId="{7DBE61F6-1BA5-4407-8B6E-65499799D8BA}" id="{64EBB36E-ED3C-4DE4-AB16-1688D9535D5D}">
    <text>Balance of all tax deferred assets for each sub period.</text>
  </threadedComment>
  <threadedComment ref="H2" dT="2022-12-16T02:37:04.90" personId="{7DBE61F6-1BA5-4407-8B6E-65499799D8BA}" id="{BA454CAF-12A5-41C0-B0FA-70F2360974DF}">
    <text>Balance of all cash assets for each sub period.</text>
  </threadedComment>
  <threadedComment ref="M2" dT="2022-12-16T02:37:46.55" personId="{7DBE61F6-1BA5-4407-8B6E-65499799D8BA}" id="{A475BFCA-64F6-4DCC-967D-38AF1999D840}">
    <text>Number of sub periods to be calculated.</text>
  </threadedComment>
  <threadedComment ref="N2" dT="2022-12-16T02:43:39.46" personId="{7DBE61F6-1BA5-4407-8B6E-65499799D8BA}" id="{5B1657DC-CB47-4785-AC4A-6ABB695C3D79}">
    <text>CPI-U for sub period. I pull these numbers from here: https://www.bls.gov/cpi/latest-numbers.htm. I use CPI-U, US CITY AVERAGE, ALL ITEMS NSA.</text>
  </threadedComment>
  <threadedComment ref="O2" dT="2022-12-16T02:47:23.42" personId="{7DBE61F6-1BA5-4407-8B6E-65499799D8BA}" id="{2C298279-0385-40F8-9720-B861CF575781}">
    <text>Initial withdrawal rate. Using the GK guardrails you may use a higher withdrawal rate as it will correct up or down between the limits you set.</text>
  </threadedComment>
  <threadedComment ref="R2" dT="2022-12-16T02:48:20.70" personId="{7DBE61F6-1BA5-4407-8B6E-65499799D8BA}" id="{DEA1A5F2-5C44-4883-AB7F-F25364C2C86D}">
    <text>Upper limit guardrail.</text>
  </threadedComment>
  <threadedComment ref="T2" dT="2022-12-16T02:48:46.62" personId="{7DBE61F6-1BA5-4407-8B6E-65499799D8BA}" id="{1577A7ED-0CEF-469B-A92D-859AC4346F34}">
    <text>Lower limit guardrail.</text>
  </threadedComment>
  <threadedComment ref="V2" dT="2022-12-16T02:50:06.13" personId="{7DBE61F6-1BA5-4407-8B6E-65499799D8BA}" id="{8D3018A2-8A3A-4AB4-9AD5-98D1B8079D72}">
    <text>GK pay raise if paycheck is below lower limit.</text>
  </threadedComment>
  <threadedComment ref="W2" dT="2022-12-16T02:50:52.67" personId="{7DBE61F6-1BA5-4407-8B6E-65499799D8BA}" id="{5F812FA9-B034-4517-A0A2-9013DCCF6EA3}">
    <text>GK cut if paycheck is greater than upper limit.</text>
  </threadedComment>
  <threadedComment ref="AC2" dT="2022-12-16T03:00:10.17" personId="{7DBE61F6-1BA5-4407-8B6E-65499799D8BA}" id="{CFC1558A-BCC8-484D-B299-8F8508808984}">
    <text>This is your annual pension amount divided by number of annual periods considered.</text>
  </threadedComment>
  <threadedComment ref="AE2" dT="2022-12-16T03:01:43.29" personId="{7DBE61F6-1BA5-4407-8B6E-65499799D8BA}" id="{A19549FE-129B-4807-A87A-F787949BF68B}">
    <text>This is your annual social security benefit amount divided by number of annual periods considered.</text>
  </threadedComment>
  <threadedComment ref="AH2" dT="2022-12-16T03:02:55.84" personId="{7DBE61F6-1BA5-4407-8B6E-65499799D8BA}" id="{EF52B232-271D-4E6A-9DAD-C247D6BF4FA2}">
    <text>This is your ROTH conversion amount for this period.</text>
  </threadedComment>
  <threadedComment ref="AJ2" dT="2022-12-16T03:03:49.75" personId="{7DBE61F6-1BA5-4407-8B6E-65499799D8BA}" id="{7E6B6007-3C35-4E9B-935A-D5050C6A2252}">
    <text>Any other income each period.</text>
  </threadedComment>
  <threadedComment ref="AO2" dT="2023-02-23T03:28:04.13" personId="{7DBE61F6-1BA5-4407-8B6E-65499799D8BA}" id="{3B7BB0BC-2E95-4DFA-BA48-37527F20EF6C}">
    <text>Cash Flow minus taxes report in Quicken (Less Federal, State and Local Taxes only)</text>
  </threadedComment>
  <threadedComment ref="AQ2" dT="2022-12-16T02:55:08.45" personId="{7DBE61F6-1BA5-4407-8B6E-65499799D8BA}" id="{06F6ADD1-550C-4C04-B254-B59BF8F698B1}">
    <text>Percent of pay to be reinvested. In my case I reinvest in my taxable as it is hyper tax efficient using Indexed ETFs and Wealthfront's parametric rebalancing and tax loss harvesting.</text>
  </threadedComment>
  <threadedComment ref="AT2" dT="2022-12-16T02:56:32.86" personId="{7DBE61F6-1BA5-4407-8B6E-65499799D8BA}" id="{58A2E246-17E0-46EB-9F9A-02D9697082E9}">
    <text>Cash saved to be pulled for spending when markets are performing poorly.</text>
  </threadedComment>
  <threadedComment ref="AZ2" dT="2022-12-16T03:07:52.02" personId="{7DBE61F6-1BA5-4407-8B6E-65499799D8BA}" id="{4D9EC009-ECCD-4A9A-962E-DF8503F1EE66}">
    <text>Federal Tax bracket to fill up.</text>
  </threadedComment>
  <threadedComment ref="D30" dT="2025-07-20T17:03:35.31" personId="{7DBE61F6-1BA5-4407-8B6E-65499799D8BA}" id="{90DA86CC-3FA9-49C6-B774-A3E8C17CE9CE}">
    <text>$230,701.65 on it’s way from Voya to Wealthfront via Check in snail mail.</text>
  </threadedComment>
  <threadedComment ref="AW55" dT="2023-03-06T00:50:07.50" personId="{7DBE61F6-1BA5-4407-8B6E-65499799D8BA}" id="{89DB945E-8581-4197-BDB8-F2A0FCF74538}">
    <text>Estimated total tax deductions. I normally use the last years as a starting point.</text>
  </threadedComment>
  <threadedComment ref="L58" dT="2023-05-27T14:44:23.71" personId="{7DBE61F6-1BA5-4407-8B6E-65499799D8BA}" id="{1D6E3BBE-87C7-42F1-A472-FE2FBE0F2CFA}">
    <text>Normalization target.</text>
  </threadedComment>
  <threadedComment ref="L60" dT="2023-05-27T14:46:20.40" personId="{7DBE61F6-1BA5-4407-8B6E-65499799D8BA}" id="{F1EA02CB-3BF6-4C86-84B2-FE1D07EFFFCD}">
    <text>Copy calculated factor and paste value to apply to all fixed entry amounts.</text>
  </threadedComment>
  <threadedComment ref="AC63" dT="2025-01-05T15:15:53.13" personId="{7DBE61F6-1BA5-4407-8B6E-65499799D8BA}" id="{6F0D01A3-8AEA-434C-9582-318784F1C834}">
    <text>Lump Sum</text>
  </threadedComment>
</ThreadedComments>
</file>

<file path=xl/threadedComments/threadedComment3.xml><?xml version="1.0" encoding="utf-8"?>
<ThreadedComments xmlns="http://schemas.microsoft.com/office/spreadsheetml/2018/threadedcomments" xmlns:x="http://schemas.openxmlformats.org/spreadsheetml/2006/main">
  <threadedComment ref="B12" dT="2025-08-09T23:49:15.84" personId="{7DBE61F6-1BA5-4407-8B6E-65499799D8BA}" id="{48CBF688-79B7-4219-8A79-0C32EAFF4A35}">
    <text>This percentage will be flexible as I plan to invest all residual income in my taxable account.</text>
  </threadedComment>
</ThreadedComments>
</file>

<file path=xl/worksheets/_rels/sheet1.xml.rels><?xml version="1.0" encoding="UTF-8" standalone="yes"?>
<Relationships xmlns="http://schemas.openxmlformats.org/package/2006/relationships"><Relationship Id="rId1" Type="http://schemas.openxmlformats.org/officeDocument/2006/relationships/hyperlink" Target="https://www.bls.gov/cpi/latest-numbers.htm" TargetMode="Externa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3.xml"/><Relationship Id="rId4" Type="http://schemas.microsoft.com/office/2017/10/relationships/threadedComment" Target="../threadedComments/threadedComment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75AD29-EDE1-4306-9306-D16E03DF8E14}">
  <sheetPr>
    <tabColor rgb="FFFF0000"/>
  </sheetPr>
  <dimension ref="A1:A83"/>
  <sheetViews>
    <sheetView tabSelected="1" workbookViewId="0">
      <selection activeCell="A4" sqref="A4"/>
    </sheetView>
  </sheetViews>
  <sheetFormatPr defaultRowHeight="15" x14ac:dyDescent="0.25"/>
  <cols>
    <col min="1" max="1" width="255.5703125" customWidth="1"/>
    <col min="2" max="2" width="68.5703125" customWidth="1"/>
  </cols>
  <sheetData>
    <row r="1" spans="1:1" ht="16.5" x14ac:dyDescent="0.3">
      <c r="A1" s="40" t="s">
        <v>41</v>
      </c>
    </row>
    <row r="2" spans="1:1" ht="16.5" x14ac:dyDescent="0.3">
      <c r="A2" s="40" t="s">
        <v>62</v>
      </c>
    </row>
    <row r="3" spans="1:1" ht="16.5" x14ac:dyDescent="0.3">
      <c r="A3" s="40" t="s">
        <v>153</v>
      </c>
    </row>
    <row r="4" spans="1:1" ht="16.5" x14ac:dyDescent="0.3">
      <c r="A4" s="40" t="s">
        <v>151</v>
      </c>
    </row>
    <row r="5" spans="1:1" ht="16.5" x14ac:dyDescent="0.3">
      <c r="A5" s="40"/>
    </row>
    <row r="6" spans="1:1" ht="16.5" x14ac:dyDescent="0.3">
      <c r="A6" s="40" t="s">
        <v>63</v>
      </c>
    </row>
    <row r="7" spans="1:1" ht="16.5" x14ac:dyDescent="0.3">
      <c r="A7" s="40" t="s">
        <v>64</v>
      </c>
    </row>
    <row r="8" spans="1:1" ht="16.5" x14ac:dyDescent="0.3">
      <c r="A8" s="40" t="s">
        <v>67</v>
      </c>
    </row>
    <row r="9" spans="1:1" ht="16.5" x14ac:dyDescent="0.3">
      <c r="A9" s="40"/>
    </row>
    <row r="10" spans="1:1" ht="18" x14ac:dyDescent="0.35">
      <c r="A10" s="41" t="s">
        <v>48</v>
      </c>
    </row>
    <row r="11" spans="1:1" ht="16.5" x14ac:dyDescent="0.3">
      <c r="A11" s="40" t="s">
        <v>43</v>
      </c>
    </row>
    <row r="12" spans="1:1" ht="16.5" x14ac:dyDescent="0.3">
      <c r="A12" s="40" t="s">
        <v>44</v>
      </c>
    </row>
    <row r="13" spans="1:1" ht="16.5" x14ac:dyDescent="0.3">
      <c r="A13" s="40" t="s">
        <v>146</v>
      </c>
    </row>
    <row r="14" spans="1:1" ht="16.5" x14ac:dyDescent="0.3">
      <c r="A14" s="40" t="s">
        <v>45</v>
      </c>
    </row>
    <row r="15" spans="1:1" ht="16.5" x14ac:dyDescent="0.3">
      <c r="A15" s="40" t="s">
        <v>65</v>
      </c>
    </row>
    <row r="16" spans="1:1" ht="16.5" x14ac:dyDescent="0.3">
      <c r="A16" s="40" t="s">
        <v>46</v>
      </c>
    </row>
    <row r="17" spans="1:1" ht="16.5" x14ac:dyDescent="0.3">
      <c r="A17" s="40" t="s">
        <v>47</v>
      </c>
    </row>
    <row r="18" spans="1:1" ht="16.5" x14ac:dyDescent="0.3">
      <c r="A18" s="40" t="s">
        <v>49</v>
      </c>
    </row>
    <row r="19" spans="1:1" ht="16.5" x14ac:dyDescent="0.3">
      <c r="A19" s="40" t="s">
        <v>50</v>
      </c>
    </row>
    <row r="20" spans="1:1" ht="16.5" x14ac:dyDescent="0.3">
      <c r="A20" s="40" t="s">
        <v>51</v>
      </c>
    </row>
    <row r="21" spans="1:1" ht="16.5" x14ac:dyDescent="0.3">
      <c r="A21" s="40"/>
    </row>
    <row r="22" spans="1:1" ht="18" x14ac:dyDescent="0.35">
      <c r="A22" s="41" t="s">
        <v>68</v>
      </c>
    </row>
    <row r="23" spans="1:1" ht="16.5" x14ac:dyDescent="0.3">
      <c r="A23" s="40" t="s">
        <v>70</v>
      </c>
    </row>
    <row r="24" spans="1:1" ht="16.5" x14ac:dyDescent="0.3">
      <c r="A24" s="40" t="s">
        <v>69</v>
      </c>
    </row>
    <row r="25" spans="1:1" ht="16.5" x14ac:dyDescent="0.3">
      <c r="A25" s="40" t="s">
        <v>126</v>
      </c>
    </row>
    <row r="26" spans="1:1" ht="16.5" x14ac:dyDescent="0.3">
      <c r="A26" s="40" t="s">
        <v>53</v>
      </c>
    </row>
    <row r="27" spans="1:1" ht="16.5" x14ac:dyDescent="0.3">
      <c r="A27" s="40"/>
    </row>
    <row r="28" spans="1:1" ht="18" x14ac:dyDescent="0.35">
      <c r="A28" s="41" t="s">
        <v>40</v>
      </c>
    </row>
    <row r="29" spans="1:1" ht="16.5" x14ac:dyDescent="0.3">
      <c r="A29" s="74" t="s">
        <v>61</v>
      </c>
    </row>
    <row r="30" spans="1:1" ht="16.5" x14ac:dyDescent="0.3">
      <c r="A30" s="40" t="s">
        <v>127</v>
      </c>
    </row>
    <row r="31" spans="1:1" ht="16.5" x14ac:dyDescent="0.3">
      <c r="A31" s="40" t="s">
        <v>56</v>
      </c>
    </row>
    <row r="32" spans="1:1" x14ac:dyDescent="0.25">
      <c r="A32" s="42" t="s">
        <v>147</v>
      </c>
    </row>
    <row r="33" spans="1:1" ht="16.5" x14ac:dyDescent="0.3">
      <c r="A33" s="40" t="s">
        <v>66</v>
      </c>
    </row>
    <row r="34" spans="1:1" ht="16.5" x14ac:dyDescent="0.3">
      <c r="A34" s="40" t="s">
        <v>52</v>
      </c>
    </row>
    <row r="35" spans="1:1" ht="16.5" x14ac:dyDescent="0.3">
      <c r="A35" s="40" t="s">
        <v>57</v>
      </c>
    </row>
    <row r="36" spans="1:1" ht="16.5" x14ac:dyDescent="0.3">
      <c r="A36" s="40" t="s">
        <v>60</v>
      </c>
    </row>
    <row r="37" spans="1:1" ht="16.5" x14ac:dyDescent="0.3">
      <c r="A37" s="40"/>
    </row>
    <row r="38" spans="1:1" ht="18" x14ac:dyDescent="0.35">
      <c r="A38" s="41" t="s">
        <v>55</v>
      </c>
    </row>
    <row r="39" spans="1:1" ht="16.5" x14ac:dyDescent="0.3">
      <c r="A39" s="40" t="s">
        <v>82</v>
      </c>
    </row>
    <row r="40" spans="1:1" ht="16.5" x14ac:dyDescent="0.3">
      <c r="A40" s="40" t="s">
        <v>83</v>
      </c>
    </row>
    <row r="41" spans="1:1" ht="16.5" x14ac:dyDescent="0.3">
      <c r="A41" s="40" t="s">
        <v>59</v>
      </c>
    </row>
    <row r="42" spans="1:1" ht="16.5" x14ac:dyDescent="0.3">
      <c r="A42" s="74" t="s">
        <v>132</v>
      </c>
    </row>
    <row r="43" spans="1:1" ht="16.5" x14ac:dyDescent="0.3">
      <c r="A43" s="40"/>
    </row>
    <row r="44" spans="1:1" ht="18" x14ac:dyDescent="0.35">
      <c r="A44" s="41" t="s">
        <v>84</v>
      </c>
    </row>
    <row r="45" spans="1:1" s="40" customFormat="1" ht="16.5" x14ac:dyDescent="0.3">
      <c r="A45" s="40" t="s">
        <v>42</v>
      </c>
    </row>
    <row r="46" spans="1:1" s="40" customFormat="1" ht="16.5" x14ac:dyDescent="0.3">
      <c r="A46" s="40" t="s">
        <v>54</v>
      </c>
    </row>
    <row r="47" spans="1:1" s="40" customFormat="1" ht="16.5" x14ac:dyDescent="0.3">
      <c r="A47" s="40" t="s">
        <v>129</v>
      </c>
    </row>
    <row r="48" spans="1:1" s="40" customFormat="1" ht="16.5" x14ac:dyDescent="0.3"/>
    <row r="49" spans="1:1" ht="16.5" x14ac:dyDescent="0.3">
      <c r="A49" s="40" t="s">
        <v>86</v>
      </c>
    </row>
    <row r="50" spans="1:1" ht="16.5" x14ac:dyDescent="0.3">
      <c r="A50" s="40" t="s">
        <v>87</v>
      </c>
    </row>
    <row r="51" spans="1:1" ht="16.5" x14ac:dyDescent="0.3">
      <c r="A51" s="40" t="s">
        <v>85</v>
      </c>
    </row>
    <row r="52" spans="1:1" ht="16.5" x14ac:dyDescent="0.3">
      <c r="A52" s="40" t="s">
        <v>88</v>
      </c>
    </row>
    <row r="53" spans="1:1" ht="16.5" x14ac:dyDescent="0.3">
      <c r="A53" s="40" t="s">
        <v>89</v>
      </c>
    </row>
    <row r="54" spans="1:1" ht="16.5" x14ac:dyDescent="0.3">
      <c r="A54" s="40"/>
    </row>
    <row r="55" spans="1:1" ht="16.5" x14ac:dyDescent="0.3">
      <c r="A55" s="40" t="s">
        <v>97</v>
      </c>
    </row>
    <row r="56" spans="1:1" ht="16.5" x14ac:dyDescent="0.3">
      <c r="A56" s="40" t="s">
        <v>95</v>
      </c>
    </row>
    <row r="57" spans="1:1" ht="16.5" x14ac:dyDescent="0.3">
      <c r="A57" s="40" t="s">
        <v>96</v>
      </c>
    </row>
    <row r="58" spans="1:1" ht="16.5" x14ac:dyDescent="0.3">
      <c r="A58" s="40" t="s">
        <v>98</v>
      </c>
    </row>
    <row r="60" spans="1:1" ht="16.5" x14ac:dyDescent="0.3">
      <c r="A60" s="40" t="s">
        <v>116</v>
      </c>
    </row>
    <row r="61" spans="1:1" ht="16.5" x14ac:dyDescent="0.3">
      <c r="A61" s="40" t="s">
        <v>117</v>
      </c>
    </row>
    <row r="62" spans="1:1" ht="16.5" x14ac:dyDescent="0.3">
      <c r="A62" s="40" t="s">
        <v>118</v>
      </c>
    </row>
    <row r="63" spans="1:1" ht="16.5" x14ac:dyDescent="0.3">
      <c r="A63" s="40" t="s">
        <v>119</v>
      </c>
    </row>
    <row r="64" spans="1:1" ht="16.5" x14ac:dyDescent="0.3">
      <c r="A64" s="40" t="s">
        <v>120</v>
      </c>
    </row>
    <row r="65" spans="1:1" ht="33" x14ac:dyDescent="0.3">
      <c r="A65" s="73" t="s">
        <v>122</v>
      </c>
    </row>
    <row r="67" spans="1:1" ht="16.5" x14ac:dyDescent="0.3">
      <c r="A67" s="40" t="s">
        <v>123</v>
      </c>
    </row>
    <row r="68" spans="1:1" ht="16.5" x14ac:dyDescent="0.3">
      <c r="A68" s="40" t="s">
        <v>124</v>
      </c>
    </row>
    <row r="69" spans="1:1" ht="18" x14ac:dyDescent="0.35">
      <c r="A69" s="73" t="s">
        <v>131</v>
      </c>
    </row>
    <row r="70" spans="1:1" ht="16.5" x14ac:dyDescent="0.3">
      <c r="A70" s="73" t="s">
        <v>145</v>
      </c>
    </row>
    <row r="71" spans="1:1" ht="16.5" x14ac:dyDescent="0.3">
      <c r="A71" s="73" t="s">
        <v>125</v>
      </c>
    </row>
    <row r="73" spans="1:1" ht="16.5" x14ac:dyDescent="0.3">
      <c r="A73" s="40" t="s">
        <v>138</v>
      </c>
    </row>
    <row r="74" spans="1:1" ht="16.5" x14ac:dyDescent="0.3">
      <c r="A74" s="40" t="s">
        <v>139</v>
      </c>
    </row>
    <row r="75" spans="1:1" ht="16.5" x14ac:dyDescent="0.3">
      <c r="A75" s="73" t="s">
        <v>141</v>
      </c>
    </row>
    <row r="76" spans="1:1" ht="18" x14ac:dyDescent="0.35">
      <c r="A76" s="73" t="s">
        <v>144</v>
      </c>
    </row>
    <row r="77" spans="1:1" ht="18" x14ac:dyDescent="0.35">
      <c r="A77" s="73" t="s">
        <v>140</v>
      </c>
    </row>
    <row r="78" spans="1:1" ht="18" x14ac:dyDescent="0.35">
      <c r="A78" s="73" t="s">
        <v>149</v>
      </c>
    </row>
    <row r="79" spans="1:1" ht="16.5" customHeight="1" x14ac:dyDescent="0.3">
      <c r="A79" s="73" t="s">
        <v>143</v>
      </c>
    </row>
    <row r="81" spans="1:1" ht="16.5" x14ac:dyDescent="0.3">
      <c r="A81" s="40" t="s">
        <v>150</v>
      </c>
    </row>
    <row r="82" spans="1:1" ht="16.5" x14ac:dyDescent="0.3">
      <c r="A82" s="40" t="s">
        <v>151</v>
      </c>
    </row>
    <row r="83" spans="1:1" ht="16.5" x14ac:dyDescent="0.3">
      <c r="A83" s="73" t="s">
        <v>152</v>
      </c>
    </row>
  </sheetData>
  <hyperlinks>
    <hyperlink ref="A32" r:id="rId1" xr:uid="{DE2FD352-78C7-4BD9-8C2B-AEB1CBE9A0DC}"/>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FEB07-18A4-42A1-8656-D49266C7232C}">
  <sheetPr>
    <tabColor rgb="FF00B050"/>
  </sheetPr>
  <dimension ref="A1:BF89"/>
  <sheetViews>
    <sheetView workbookViewId="0">
      <pane xSplit="1" ySplit="1" topLeftCell="B92" activePane="bottomRight" state="frozen"/>
      <selection pane="topRight" activeCell="B1" sqref="B1"/>
      <selection pane="bottomLeft" activeCell="A2" sqref="A2"/>
      <selection pane="bottomRight"/>
    </sheetView>
  </sheetViews>
  <sheetFormatPr defaultColWidth="13.28515625" defaultRowHeight="16.5" x14ac:dyDescent="0.3"/>
  <cols>
    <col min="1" max="1" width="14" style="1" bestFit="1" customWidth="1"/>
    <col min="2" max="2" width="16.85546875" style="21" bestFit="1" customWidth="1"/>
    <col min="3" max="3" width="11.7109375" style="21" bestFit="1" customWidth="1"/>
    <col min="4" max="4" width="16.85546875" style="21" bestFit="1" customWidth="1"/>
    <col min="5" max="5" width="12.5703125" style="21" bestFit="1" customWidth="1"/>
    <col min="6" max="6" width="19.28515625" style="21" bestFit="1" customWidth="1"/>
    <col min="7" max="7" width="15.7109375" style="21" bestFit="1" customWidth="1"/>
    <col min="8" max="8" width="16.85546875" style="21" bestFit="1" customWidth="1"/>
    <col min="9" max="9" width="10.140625" style="21" bestFit="1" customWidth="1"/>
    <col min="10" max="10" width="19.42578125" style="21" customWidth="1"/>
    <col min="11" max="11" width="17.85546875" style="21" bestFit="1" customWidth="1"/>
    <col min="12" max="12" width="19.28515625" style="21" bestFit="1" customWidth="1"/>
    <col min="13" max="13" width="11.7109375" style="21" bestFit="1" customWidth="1"/>
    <col min="14" max="14" width="9.140625" style="21" bestFit="1" customWidth="1"/>
    <col min="15" max="15" width="13" style="21" bestFit="1" customWidth="1"/>
    <col min="16" max="16" width="17.140625" style="21" bestFit="1" customWidth="1"/>
    <col min="17" max="18" width="13" style="21" customWidth="1"/>
    <col min="19" max="19" width="16.85546875" style="21" bestFit="1" customWidth="1"/>
    <col min="20" max="20" width="10.140625" style="21" bestFit="1" customWidth="1"/>
    <col min="21" max="21" width="16.85546875" style="21" bestFit="1" customWidth="1"/>
    <col min="22" max="22" width="11.140625" style="21" customWidth="1"/>
    <col min="23" max="23" width="11" style="21" bestFit="1" customWidth="1"/>
    <col min="24" max="25" width="13.140625" style="21" bestFit="1" customWidth="1"/>
    <col min="26" max="27" width="16.85546875" style="21" bestFit="1" customWidth="1"/>
    <col min="28" max="28" width="10.5703125" style="21" customWidth="1"/>
    <col min="29" max="29" width="20.140625" style="21" bestFit="1" customWidth="1"/>
    <col min="30" max="30" width="22.140625" style="21" bestFit="1" customWidth="1"/>
    <col min="31" max="32" width="9.85546875" style="21" bestFit="1" customWidth="1"/>
    <col min="33" max="33" width="10.5703125" style="21" customWidth="1"/>
    <col min="34" max="42" width="16.85546875" style="21" bestFit="1" customWidth="1"/>
    <col min="43" max="43" width="11.7109375" style="21" bestFit="1" customWidth="1"/>
    <col min="44" max="45" width="16.85546875" style="21" bestFit="1" customWidth="1"/>
    <col min="46" max="46" width="10.140625" style="21" bestFit="1" customWidth="1"/>
    <col min="47" max="48" width="16.85546875" style="21" bestFit="1" customWidth="1"/>
    <col min="49" max="49" width="15.5703125" style="21" bestFit="1" customWidth="1"/>
    <col min="50" max="51" width="16.85546875" style="21" bestFit="1" customWidth="1"/>
    <col min="52" max="52" width="8.140625" style="21" bestFit="1" customWidth="1"/>
    <col min="53" max="54" width="5.5703125" style="21" bestFit="1" customWidth="1"/>
    <col min="55" max="55" width="13.28515625" style="21"/>
    <col min="56" max="56" width="6.140625" style="21" bestFit="1" customWidth="1"/>
    <col min="57" max="57" width="15.7109375" style="21" bestFit="1" customWidth="1"/>
    <col min="58" max="58" width="13.7109375" style="21" bestFit="1" customWidth="1"/>
    <col min="59" max="59" width="23.85546875" style="1" bestFit="1" customWidth="1"/>
    <col min="60" max="16384" width="13.28515625" style="1"/>
  </cols>
  <sheetData>
    <row r="1" spans="1:58" s="2" customFormat="1" ht="54.75" thickBot="1" x14ac:dyDescent="0.35">
      <c r="A1" s="3" t="s">
        <v>5</v>
      </c>
      <c r="B1" s="55" t="s">
        <v>1</v>
      </c>
      <c r="C1" s="31" t="s">
        <v>1</v>
      </c>
      <c r="D1" s="31" t="s">
        <v>4</v>
      </c>
      <c r="E1" s="31" t="s">
        <v>4</v>
      </c>
      <c r="F1" s="31" t="s">
        <v>3</v>
      </c>
      <c r="G1" s="31" t="s">
        <v>3</v>
      </c>
      <c r="H1" s="31" t="s">
        <v>0</v>
      </c>
      <c r="I1" s="31" t="s">
        <v>0</v>
      </c>
      <c r="J1" s="3" t="s">
        <v>9</v>
      </c>
      <c r="K1" s="3" t="s">
        <v>11</v>
      </c>
      <c r="L1" s="3" t="s">
        <v>11</v>
      </c>
      <c r="M1" s="3" t="s">
        <v>30</v>
      </c>
      <c r="N1" s="3" t="s">
        <v>23</v>
      </c>
      <c r="O1" s="31" t="s">
        <v>15</v>
      </c>
      <c r="P1" s="3" t="s">
        <v>15</v>
      </c>
      <c r="Q1" s="3" t="s">
        <v>27</v>
      </c>
      <c r="R1" s="3" t="s">
        <v>16</v>
      </c>
      <c r="S1" s="3" t="s">
        <v>16</v>
      </c>
      <c r="T1" s="3" t="s">
        <v>17</v>
      </c>
      <c r="U1" s="3" t="s">
        <v>19</v>
      </c>
      <c r="V1" s="3" t="s">
        <v>29</v>
      </c>
      <c r="W1" s="3" t="s">
        <v>28</v>
      </c>
      <c r="X1" s="3" t="s">
        <v>18</v>
      </c>
      <c r="Y1" s="3" t="s">
        <v>31</v>
      </c>
      <c r="Z1" s="3" t="s">
        <v>10</v>
      </c>
      <c r="AA1" s="3" t="s">
        <v>26</v>
      </c>
      <c r="AB1" s="3" t="s">
        <v>73</v>
      </c>
      <c r="AC1" s="3" t="s">
        <v>2</v>
      </c>
      <c r="AD1" s="3" t="s">
        <v>24</v>
      </c>
      <c r="AE1" s="3" t="s">
        <v>8</v>
      </c>
      <c r="AF1" s="3" t="s">
        <v>34</v>
      </c>
      <c r="AG1" s="3" t="s">
        <v>74</v>
      </c>
      <c r="AH1" s="3" t="s">
        <v>12</v>
      </c>
      <c r="AI1" s="3" t="s">
        <v>35</v>
      </c>
      <c r="AJ1" s="3" t="s">
        <v>36</v>
      </c>
      <c r="AK1" s="3" t="s">
        <v>36</v>
      </c>
      <c r="AL1" s="3" t="s">
        <v>58</v>
      </c>
      <c r="AM1" s="3" t="s">
        <v>32</v>
      </c>
      <c r="AN1" s="3" t="s">
        <v>75</v>
      </c>
      <c r="AO1" s="3" t="s">
        <v>72</v>
      </c>
      <c r="AP1" s="3" t="s">
        <v>71</v>
      </c>
      <c r="AQ1" s="3" t="s">
        <v>7</v>
      </c>
      <c r="AR1" s="3" t="s">
        <v>7</v>
      </c>
      <c r="AS1" s="3" t="s">
        <v>25</v>
      </c>
      <c r="AT1" s="3" t="s">
        <v>38</v>
      </c>
      <c r="AU1" s="3" t="s">
        <v>38</v>
      </c>
      <c r="AV1" s="3" t="s">
        <v>39</v>
      </c>
      <c r="AW1" s="3" t="s">
        <v>37</v>
      </c>
      <c r="AX1" s="3" t="s">
        <v>33</v>
      </c>
      <c r="AY1" s="3" t="s">
        <v>142</v>
      </c>
      <c r="AZ1" s="3" t="s">
        <v>6</v>
      </c>
      <c r="BA1" s="3" t="s">
        <v>21</v>
      </c>
      <c r="BB1" s="3" t="s">
        <v>22</v>
      </c>
      <c r="BC1" s="5"/>
      <c r="BD1" s="3" t="s">
        <v>14</v>
      </c>
      <c r="BE1" s="3" t="s">
        <v>20</v>
      </c>
      <c r="BF1" s="3" t="s">
        <v>128</v>
      </c>
    </row>
    <row r="2" spans="1:58" s="4" customFormat="1" ht="18.75" thickBot="1" x14ac:dyDescent="0.4">
      <c r="A2" s="58">
        <v>45662</v>
      </c>
      <c r="B2" s="56">
        <v>65342.013528015246</v>
      </c>
      <c r="C2" s="49">
        <v>6.5342013528015247E-2</v>
      </c>
      <c r="D2" s="51">
        <v>230815.30623807461</v>
      </c>
      <c r="E2" s="49">
        <v>0.23081530623807461</v>
      </c>
      <c r="F2" s="51">
        <v>620277.94480726693</v>
      </c>
      <c r="G2" s="49">
        <v>0.62027794480726695</v>
      </c>
      <c r="H2" s="51">
        <v>83564.735426643223</v>
      </c>
      <c r="I2" s="49">
        <v>8.3564735426643222E-2</v>
      </c>
      <c r="J2" s="8">
        <v>1000000</v>
      </c>
      <c r="K2" s="6">
        <v>0</v>
      </c>
      <c r="L2" s="7">
        <v>0</v>
      </c>
      <c r="M2" s="37">
        <v>52</v>
      </c>
      <c r="N2" s="33">
        <v>-2.5000000000000001E-4</v>
      </c>
      <c r="O2" s="32">
        <v>5.131903997970718E-2</v>
      </c>
      <c r="P2" s="8">
        <v>51319.03997970718</v>
      </c>
      <c r="Q2" s="7">
        <v>0</v>
      </c>
      <c r="R2" s="33">
        <v>0.2</v>
      </c>
      <c r="S2" s="8">
        <v>61582.847975648619</v>
      </c>
      <c r="T2" s="33">
        <v>-0.2</v>
      </c>
      <c r="U2" s="8">
        <v>41055.231983765741</v>
      </c>
      <c r="V2" s="33">
        <v>0.1</v>
      </c>
      <c r="W2" s="33">
        <v>-0.1</v>
      </c>
      <c r="X2" s="26">
        <v>5.131903997970718E-2</v>
      </c>
      <c r="Y2" s="9">
        <v>9.8690461499436884E-4</v>
      </c>
      <c r="Z2" s="8">
        <v>986.90461499436879</v>
      </c>
      <c r="AA2" s="8">
        <v>986.90461499436879</v>
      </c>
      <c r="AB2" s="10">
        <v>1</v>
      </c>
      <c r="AC2" s="28">
        <v>0</v>
      </c>
      <c r="AD2" s="8">
        <v>0</v>
      </c>
      <c r="AE2" s="28"/>
      <c r="AF2" s="11">
        <v>0</v>
      </c>
      <c r="AG2" s="10">
        <v>0.85</v>
      </c>
      <c r="AH2" s="28"/>
      <c r="AI2" s="11">
        <v>0</v>
      </c>
      <c r="AJ2" s="28"/>
      <c r="AK2" s="11">
        <v>0</v>
      </c>
      <c r="AL2" s="8">
        <v>986.90461499436879</v>
      </c>
      <c r="AM2" s="8">
        <v>986.90461499436879</v>
      </c>
      <c r="AN2" s="8">
        <v>0</v>
      </c>
      <c r="AO2" s="8">
        <v>0</v>
      </c>
      <c r="AP2" s="8">
        <v>0</v>
      </c>
      <c r="AQ2" s="33">
        <v>0</v>
      </c>
      <c r="AR2" s="8">
        <v>0</v>
      </c>
      <c r="AS2" s="8">
        <v>0</v>
      </c>
      <c r="AT2" s="33">
        <v>1</v>
      </c>
      <c r="AU2" s="8">
        <v>986.90461499436879</v>
      </c>
      <c r="AV2" s="8">
        <v>986.90461499436879</v>
      </c>
      <c r="AW2" s="39">
        <v>576.92307692307691</v>
      </c>
      <c r="AX2" s="8">
        <v>409.98153807129188</v>
      </c>
      <c r="AY2" s="15">
        <v>851.56694075453686</v>
      </c>
      <c r="AZ2" s="35">
        <v>0.22</v>
      </c>
      <c r="BA2" s="10">
        <v>0.1</v>
      </c>
      <c r="BB2" s="10">
        <v>0.1</v>
      </c>
      <c r="BC2" s="12"/>
      <c r="BD2" s="10">
        <v>0.1</v>
      </c>
      <c r="BE2" s="13">
        <v>0</v>
      </c>
      <c r="BF2" s="13">
        <v>0</v>
      </c>
    </row>
    <row r="3" spans="1:58" ht="18.75" thickBot="1" x14ac:dyDescent="0.4">
      <c r="A3" s="59">
        <v>45669</v>
      </c>
      <c r="B3" s="56">
        <v>64045.303736210786</v>
      </c>
      <c r="C3" s="49">
        <v>6.5217660816061798E-2</v>
      </c>
      <c r="D3" s="51">
        <v>225650.80472622078</v>
      </c>
      <c r="E3" s="49">
        <v>0.22978137017071396</v>
      </c>
      <c r="F3" s="51">
        <v>609764.67740444804</v>
      </c>
      <c r="G3" s="49">
        <v>0.62092649403885014</v>
      </c>
      <c r="H3" s="51">
        <v>82563.146528403769</v>
      </c>
      <c r="I3" s="49">
        <v>8.4074474974374175E-2</v>
      </c>
      <c r="J3" s="14">
        <v>982023.93239528337</v>
      </c>
      <c r="K3" s="14">
        <v>-17976.067604716634</v>
      </c>
      <c r="L3" s="17">
        <v>-1.7976067604716633E-2</v>
      </c>
      <c r="M3" s="16">
        <v>52</v>
      </c>
      <c r="N3" s="34">
        <v>-2.5000000000000001E-4</v>
      </c>
      <c r="O3" s="25">
        <v>5.1306210219712253E-2</v>
      </c>
      <c r="P3" s="15">
        <v>50383.926316260906</v>
      </c>
      <c r="Q3" s="17">
        <v>-1.8221573587815395E-2</v>
      </c>
      <c r="R3" s="34">
        <v>0.2</v>
      </c>
      <c r="S3" s="15">
        <v>61582.847975648619</v>
      </c>
      <c r="T3" s="34">
        <v>-0.2</v>
      </c>
      <c r="U3" s="15">
        <v>41055.231983765741</v>
      </c>
      <c r="V3" s="34">
        <v>0.1</v>
      </c>
      <c r="W3" s="34">
        <v>-0.1</v>
      </c>
      <c r="X3" s="25">
        <v>5.1306210219712253E-2</v>
      </c>
      <c r="Y3" s="18">
        <v>9.8665788884062019E-4</v>
      </c>
      <c r="Z3" s="15">
        <v>968.92165992809419</v>
      </c>
      <c r="AA3" s="15">
        <v>1955.826274922463</v>
      </c>
      <c r="AB3" s="60">
        <v>1</v>
      </c>
      <c r="AC3" s="14">
        <v>0</v>
      </c>
      <c r="AD3" s="15">
        <v>0</v>
      </c>
      <c r="AE3" s="29"/>
      <c r="AF3" s="20">
        <v>0</v>
      </c>
      <c r="AG3" s="10">
        <v>0.85</v>
      </c>
      <c r="AH3" s="29"/>
      <c r="AI3" s="20">
        <v>0</v>
      </c>
      <c r="AJ3" s="29"/>
      <c r="AK3" s="20">
        <v>0</v>
      </c>
      <c r="AL3" s="15">
        <v>968.92165992809419</v>
      </c>
      <c r="AM3" s="15">
        <v>1955.826274922463</v>
      </c>
      <c r="AN3" s="15">
        <v>0</v>
      </c>
      <c r="AO3" s="39">
        <v>1262.3367284325661</v>
      </c>
      <c r="AP3" s="15">
        <v>1262.3367284325661</v>
      </c>
      <c r="AQ3" s="34">
        <v>0</v>
      </c>
      <c r="AR3" s="15">
        <v>0</v>
      </c>
      <c r="AS3" s="15">
        <v>0</v>
      </c>
      <c r="AT3" s="34">
        <v>1</v>
      </c>
      <c r="AU3" s="15">
        <v>-293.41506850447195</v>
      </c>
      <c r="AV3" s="15">
        <v>693.48954648989684</v>
      </c>
      <c r="AW3" s="39">
        <v>576.92307692307691</v>
      </c>
      <c r="AX3" s="39">
        <v>1378.9031979993861</v>
      </c>
      <c r="AY3" s="15">
        <v>851.56694075453686</v>
      </c>
      <c r="AZ3" s="19">
        <v>0.22</v>
      </c>
      <c r="BA3" s="19">
        <v>0.1</v>
      </c>
      <c r="BB3" s="19">
        <v>0.1</v>
      </c>
      <c r="BD3" s="19">
        <v>0.12</v>
      </c>
      <c r="BE3" s="22">
        <v>23850</v>
      </c>
      <c r="BF3" s="22">
        <v>11925</v>
      </c>
    </row>
    <row r="4" spans="1:58" ht="18.75" thickBot="1" x14ac:dyDescent="0.4">
      <c r="A4" s="59">
        <v>45676</v>
      </c>
      <c r="B4" s="57">
        <v>65226.309579863679</v>
      </c>
      <c r="C4" s="49">
        <v>6.4696852062878382E-2</v>
      </c>
      <c r="D4" s="29">
        <v>232241.2448209736</v>
      </c>
      <c r="E4" s="49">
        <v>0.23035608722710527</v>
      </c>
      <c r="F4" s="29">
        <v>627189.36780218477</v>
      </c>
      <c r="G4" s="49">
        <v>0.62209832206473525</v>
      </c>
      <c r="H4" s="30">
        <v>83526.745164143271</v>
      </c>
      <c r="I4" s="49">
        <v>8.284873864528107E-2</v>
      </c>
      <c r="J4" s="14">
        <v>1008183.6673671653</v>
      </c>
      <c r="K4" s="14">
        <v>26159.734971881961</v>
      </c>
      <c r="L4" s="17">
        <v>2.6638592104445951E-2</v>
      </c>
      <c r="M4" s="16">
        <v>52</v>
      </c>
      <c r="N4" s="34">
        <v>-2.5000000000000001E-4</v>
      </c>
      <c r="O4" s="25">
        <v>5.1293383667157327E-2</v>
      </c>
      <c r="P4" s="15">
        <v>51713.151657225731</v>
      </c>
      <c r="Q4" s="17">
        <v>2.6381932456419767E-2</v>
      </c>
      <c r="R4" s="34">
        <v>0.2</v>
      </c>
      <c r="S4" s="15">
        <v>61582.847975648619</v>
      </c>
      <c r="T4" s="34">
        <v>-0.2</v>
      </c>
      <c r="U4" s="15">
        <v>41055.231983765741</v>
      </c>
      <c r="V4" s="34">
        <v>0.1</v>
      </c>
      <c r="W4" s="34">
        <v>-0.1</v>
      </c>
      <c r="X4" s="25">
        <v>5.1293383667157327E-2</v>
      </c>
      <c r="Y4" s="18">
        <v>9.8641122436841011E-4</v>
      </c>
      <c r="Z4" s="15">
        <v>994.48368571587946</v>
      </c>
      <c r="AA4" s="15">
        <v>2950.3099606383425</v>
      </c>
      <c r="AB4" s="60">
        <v>1</v>
      </c>
      <c r="AC4" s="14">
        <v>0</v>
      </c>
      <c r="AD4" s="15">
        <v>0</v>
      </c>
      <c r="AE4" s="29"/>
      <c r="AF4" s="20">
        <v>0</v>
      </c>
      <c r="AG4" s="10">
        <v>0.85</v>
      </c>
      <c r="AH4" s="29"/>
      <c r="AI4" s="20">
        <v>0</v>
      </c>
      <c r="AJ4" s="29"/>
      <c r="AK4" s="20">
        <v>0</v>
      </c>
      <c r="AL4" s="15">
        <v>994.48368571587946</v>
      </c>
      <c r="AM4" s="15">
        <v>2950.3099606383425</v>
      </c>
      <c r="AN4" s="15">
        <v>0</v>
      </c>
      <c r="AO4" s="39">
        <v>1262.3367284325661</v>
      </c>
      <c r="AP4" s="15">
        <v>2524.6734568651323</v>
      </c>
      <c r="AQ4" s="34">
        <v>0</v>
      </c>
      <c r="AR4" s="15">
        <v>0</v>
      </c>
      <c r="AS4" s="15">
        <v>0</v>
      </c>
      <c r="AT4" s="34">
        <v>1</v>
      </c>
      <c r="AU4" s="15">
        <v>-267.85304271668667</v>
      </c>
      <c r="AV4" s="15">
        <v>425.63650377321017</v>
      </c>
      <c r="AW4" s="39">
        <v>576.92307692307691</v>
      </c>
      <c r="AX4" s="39">
        <v>2373.3868837152659</v>
      </c>
      <c r="AY4" s="15">
        <v>851.56694075453686</v>
      </c>
      <c r="AZ4" s="19">
        <v>0.22</v>
      </c>
      <c r="BA4" s="19">
        <v>0.1</v>
      </c>
      <c r="BB4" s="19">
        <v>0.1</v>
      </c>
      <c r="BD4" s="19">
        <v>0.22</v>
      </c>
      <c r="BE4" s="22">
        <v>96950</v>
      </c>
      <c r="BF4" s="22">
        <v>48475</v>
      </c>
    </row>
    <row r="5" spans="1:58" ht="18.75" thickBot="1" x14ac:dyDescent="0.4">
      <c r="A5" s="59">
        <v>45683</v>
      </c>
      <c r="B5" s="57">
        <v>66735.238703612849</v>
      </c>
      <c r="C5" s="49">
        <v>6.5335912493429224E-2</v>
      </c>
      <c r="D5" s="29">
        <v>236309.20112164898</v>
      </c>
      <c r="E5" s="49">
        <v>0.23135419286423226</v>
      </c>
      <c r="F5" s="29">
        <v>639014.12328629394</v>
      </c>
      <c r="G5" s="49">
        <v>0.62561506712402659</v>
      </c>
      <c r="H5" s="30">
        <v>79358.849713655174</v>
      </c>
      <c r="I5" s="49">
        <v>7.7694827518311929E-2</v>
      </c>
      <c r="J5" s="14">
        <v>1021417.412825211</v>
      </c>
      <c r="K5" s="14">
        <v>13233.745458045625</v>
      </c>
      <c r="L5" s="17">
        <v>1.3126323988767907E-2</v>
      </c>
      <c r="M5" s="16">
        <v>52</v>
      </c>
      <c r="N5" s="34">
        <v>-2.5000000000000001E-4</v>
      </c>
      <c r="O5" s="25">
        <v>5.1280560321240537E-2</v>
      </c>
      <c r="P5" s="15">
        <v>52378.857251548681</v>
      </c>
      <c r="Q5" s="17">
        <v>1.2873042407770803E-2</v>
      </c>
      <c r="R5" s="34">
        <v>0.2</v>
      </c>
      <c r="S5" s="15">
        <v>61582.847975648619</v>
      </c>
      <c r="T5" s="34">
        <v>-0.2</v>
      </c>
      <c r="U5" s="15">
        <v>41055.231983765741</v>
      </c>
      <c r="V5" s="34">
        <v>0.1</v>
      </c>
      <c r="W5" s="34">
        <v>-0.1</v>
      </c>
      <c r="X5" s="25">
        <v>5.1280560321240537E-2</v>
      </c>
      <c r="Y5" s="18">
        <v>9.8616462156231799E-4</v>
      </c>
      <c r="Z5" s="15">
        <v>1007.2857163759361</v>
      </c>
      <c r="AA5" s="15">
        <v>3957.5956770142784</v>
      </c>
      <c r="AB5" s="60">
        <v>1</v>
      </c>
      <c r="AC5" s="14">
        <v>0</v>
      </c>
      <c r="AD5" s="15">
        <v>0</v>
      </c>
      <c r="AE5" s="29"/>
      <c r="AF5" s="20">
        <v>0</v>
      </c>
      <c r="AG5" s="10">
        <v>0.85</v>
      </c>
      <c r="AH5" s="29"/>
      <c r="AI5" s="20">
        <v>0</v>
      </c>
      <c r="AJ5" s="29"/>
      <c r="AK5" s="20">
        <v>0</v>
      </c>
      <c r="AL5" s="15">
        <v>1007.2857163759361</v>
      </c>
      <c r="AM5" s="15">
        <v>3957.5956770142784</v>
      </c>
      <c r="AN5" s="15">
        <v>0</v>
      </c>
      <c r="AO5" s="39">
        <v>1262.3367284325661</v>
      </c>
      <c r="AP5" s="15">
        <v>3787.0101852976986</v>
      </c>
      <c r="AQ5" s="34">
        <v>0</v>
      </c>
      <c r="AR5" s="15">
        <v>0</v>
      </c>
      <c r="AS5" s="15">
        <v>0</v>
      </c>
      <c r="AT5" s="34">
        <v>1</v>
      </c>
      <c r="AU5" s="15">
        <v>-255.05101205663004</v>
      </c>
      <c r="AV5" s="15">
        <v>170.58549171658012</v>
      </c>
      <c r="AW5" s="39">
        <v>576.92307692307691</v>
      </c>
      <c r="AX5" s="39">
        <v>3380.6726000912013</v>
      </c>
      <c r="AY5" s="15">
        <v>851.56694075453686</v>
      </c>
      <c r="AZ5" s="19">
        <v>0.22</v>
      </c>
      <c r="BA5" s="19">
        <v>0.1</v>
      </c>
      <c r="BB5" s="19">
        <v>0.1</v>
      </c>
      <c r="BD5" s="19">
        <v>0.24</v>
      </c>
      <c r="BE5" s="22">
        <v>206700</v>
      </c>
      <c r="BF5" s="22">
        <v>103350</v>
      </c>
    </row>
    <row r="6" spans="1:58" ht="18.75" thickBot="1" x14ac:dyDescent="0.4">
      <c r="A6" s="59">
        <v>45690</v>
      </c>
      <c r="B6" s="57">
        <v>65644.976199796904</v>
      </c>
      <c r="C6" s="49">
        <v>6.462594519259926E-2</v>
      </c>
      <c r="D6" s="29">
        <v>235148.22334204518</v>
      </c>
      <c r="E6" s="49">
        <v>0.2314979313510227</v>
      </c>
      <c r="F6" s="29">
        <v>636358.42984775</v>
      </c>
      <c r="G6" s="49">
        <v>0.62648000488293953</v>
      </c>
      <c r="H6" s="30">
        <v>78616.511473349427</v>
      </c>
      <c r="I6" s="49">
        <v>7.7396118573438519E-2</v>
      </c>
      <c r="J6" s="14">
        <v>1015768.1408629415</v>
      </c>
      <c r="K6" s="14">
        <v>-5649.2719622694422</v>
      </c>
      <c r="L6" s="17">
        <v>-5.5308161886957847E-3</v>
      </c>
      <c r="M6" s="16">
        <v>52</v>
      </c>
      <c r="N6" s="34">
        <v>-2.5000000000000001E-4</v>
      </c>
      <c r="O6" s="25">
        <v>5.1267740181160225E-2</v>
      </c>
      <c r="P6" s="15">
        <v>52076.137130061448</v>
      </c>
      <c r="Q6" s="17">
        <v>-5.7794334846486646E-3</v>
      </c>
      <c r="R6" s="34">
        <v>0.2</v>
      </c>
      <c r="S6" s="15">
        <v>61582.847975648619</v>
      </c>
      <c r="T6" s="34">
        <v>-0.2</v>
      </c>
      <c r="U6" s="15">
        <v>41055.231983765741</v>
      </c>
      <c r="V6" s="34">
        <v>0.1</v>
      </c>
      <c r="W6" s="34">
        <v>-0.1</v>
      </c>
      <c r="X6" s="25">
        <v>5.1267740181160225E-2</v>
      </c>
      <c r="Y6" s="18">
        <v>9.8591808040692733E-4</v>
      </c>
      <c r="Z6" s="15">
        <v>1001.4641755781047</v>
      </c>
      <c r="AA6" s="15">
        <v>4959.0598525923833</v>
      </c>
      <c r="AB6" s="60">
        <v>1</v>
      </c>
      <c r="AC6" s="14">
        <v>0</v>
      </c>
      <c r="AD6" s="15">
        <v>0</v>
      </c>
      <c r="AE6" s="29"/>
      <c r="AF6" s="20">
        <v>0</v>
      </c>
      <c r="AG6" s="10">
        <v>0.85</v>
      </c>
      <c r="AH6" s="29"/>
      <c r="AI6" s="20">
        <v>0</v>
      </c>
      <c r="AJ6" s="29"/>
      <c r="AK6" s="20">
        <v>0</v>
      </c>
      <c r="AL6" s="15">
        <v>1001.4641755781047</v>
      </c>
      <c r="AM6" s="15">
        <v>4959.0598525923833</v>
      </c>
      <c r="AN6" s="15">
        <v>0</v>
      </c>
      <c r="AO6" s="39">
        <v>1262.3367284325661</v>
      </c>
      <c r="AP6" s="15">
        <v>5049.3469137302645</v>
      </c>
      <c r="AQ6" s="34">
        <v>0</v>
      </c>
      <c r="AR6" s="15">
        <v>0</v>
      </c>
      <c r="AS6" s="15">
        <v>0</v>
      </c>
      <c r="AT6" s="34">
        <v>1</v>
      </c>
      <c r="AU6" s="15">
        <v>-260.87255285446145</v>
      </c>
      <c r="AV6" s="15">
        <v>-90.287061137881324</v>
      </c>
      <c r="AW6" s="39">
        <v>576.92307692307691</v>
      </c>
      <c r="AX6" s="39">
        <v>4382.1367756693062</v>
      </c>
      <c r="AY6" s="15">
        <v>851.56694075453686</v>
      </c>
      <c r="AZ6" s="19">
        <v>0.22</v>
      </c>
      <c r="BA6" s="19">
        <v>0.1</v>
      </c>
      <c r="BB6" s="19">
        <v>0.1</v>
      </c>
      <c r="BD6" s="19">
        <v>0.32</v>
      </c>
      <c r="BE6" s="22">
        <v>394600</v>
      </c>
      <c r="BF6" s="22">
        <v>197300</v>
      </c>
    </row>
    <row r="7" spans="1:58" ht="18.75" thickBot="1" x14ac:dyDescent="0.4">
      <c r="A7" s="59">
        <v>45697</v>
      </c>
      <c r="B7" s="57">
        <v>65876.778699641291</v>
      </c>
      <c r="C7" s="49">
        <v>6.4789394280339044E-2</v>
      </c>
      <c r="D7" s="29">
        <v>235980.24490875352</v>
      </c>
      <c r="E7" s="49">
        <v>0.2320850750683025</v>
      </c>
      <c r="F7" s="29">
        <v>636033.9380709976</v>
      </c>
      <c r="G7" s="49">
        <v>0.62553534648747167</v>
      </c>
      <c r="H7" s="30">
        <v>78892.408984596506</v>
      </c>
      <c r="I7" s="49">
        <v>7.7590184163886841E-2</v>
      </c>
      <c r="J7" s="14">
        <v>1016783.3706639889</v>
      </c>
      <c r="K7" s="14">
        <v>1015.2298010473605</v>
      </c>
      <c r="L7" s="17">
        <v>9.994700170305364E-4</v>
      </c>
      <c r="M7" s="16">
        <v>52</v>
      </c>
      <c r="N7" s="34">
        <v>-2.5000000000000001E-4</v>
      </c>
      <c r="O7" s="25">
        <v>5.1254923246114935E-2</v>
      </c>
      <c r="P7" s="15">
        <v>52115.153621308782</v>
      </c>
      <c r="Q7" s="17">
        <v>7.4922014952624272E-4</v>
      </c>
      <c r="R7" s="34">
        <v>0.2</v>
      </c>
      <c r="S7" s="15">
        <v>61582.847975648619</v>
      </c>
      <c r="T7" s="34">
        <v>-0.2</v>
      </c>
      <c r="U7" s="15">
        <v>41055.231983765741</v>
      </c>
      <c r="V7" s="34">
        <v>0.1</v>
      </c>
      <c r="W7" s="34">
        <v>-0.1</v>
      </c>
      <c r="X7" s="25">
        <v>5.1254923246114935E-2</v>
      </c>
      <c r="Y7" s="18">
        <v>9.8567160088682557E-4</v>
      </c>
      <c r="Z7" s="15">
        <v>1002.2144927174764</v>
      </c>
      <c r="AA7" s="15">
        <v>5961.2743453098601</v>
      </c>
      <c r="AB7" s="60">
        <v>1</v>
      </c>
      <c r="AC7" s="14">
        <v>0</v>
      </c>
      <c r="AD7" s="15">
        <v>0</v>
      </c>
      <c r="AE7" s="29"/>
      <c r="AF7" s="20">
        <v>0</v>
      </c>
      <c r="AG7" s="10">
        <v>0.85</v>
      </c>
      <c r="AH7" s="29"/>
      <c r="AI7" s="20">
        <v>0</v>
      </c>
      <c r="AJ7" s="29"/>
      <c r="AK7" s="20">
        <v>0</v>
      </c>
      <c r="AL7" s="15">
        <v>1002.2144927174764</v>
      </c>
      <c r="AM7" s="15">
        <v>5961.2743453098601</v>
      </c>
      <c r="AN7" s="15">
        <v>0</v>
      </c>
      <c r="AO7" s="39">
        <v>1262.3367284325661</v>
      </c>
      <c r="AP7" s="15">
        <v>6311.6836421628304</v>
      </c>
      <c r="AQ7" s="34">
        <v>0</v>
      </c>
      <c r="AR7" s="15">
        <v>0</v>
      </c>
      <c r="AS7" s="15">
        <v>0</v>
      </c>
      <c r="AT7" s="34">
        <v>1</v>
      </c>
      <c r="AU7" s="15">
        <v>-260.12223571508969</v>
      </c>
      <c r="AV7" s="15">
        <v>-350.40929685297101</v>
      </c>
      <c r="AW7" s="39">
        <v>576.92307692307691</v>
      </c>
      <c r="AX7" s="39">
        <v>5384.351268386783</v>
      </c>
      <c r="AY7" s="15">
        <v>851.56694075453686</v>
      </c>
      <c r="AZ7" s="19">
        <v>0.22</v>
      </c>
      <c r="BA7" s="19">
        <v>0.1</v>
      </c>
      <c r="BB7" s="19">
        <v>0.1</v>
      </c>
      <c r="BD7" s="19">
        <v>0.35</v>
      </c>
      <c r="BE7" s="22">
        <v>501050</v>
      </c>
      <c r="BF7" s="22">
        <v>250525</v>
      </c>
    </row>
    <row r="8" spans="1:58" ht="18.75" thickBot="1" x14ac:dyDescent="0.4">
      <c r="A8" s="59">
        <v>45704</v>
      </c>
      <c r="B8" s="57">
        <v>67166.261830513991</v>
      </c>
      <c r="C8" s="49">
        <v>6.5191766895791148E-2</v>
      </c>
      <c r="D8" s="29">
        <v>239256.52978914359</v>
      </c>
      <c r="E8" s="49">
        <v>0.23222307588992108</v>
      </c>
      <c r="F8" s="29">
        <v>644972.28857945011</v>
      </c>
      <c r="G8" s="49">
        <v>0.62601195816758004</v>
      </c>
      <c r="H8" s="30">
        <v>78892.408984596506</v>
      </c>
      <c r="I8" s="49">
        <v>7.6573199046707716E-2</v>
      </c>
      <c r="J8" s="14">
        <v>1030287.4891837043</v>
      </c>
      <c r="K8" s="14">
        <v>13504.118519715383</v>
      </c>
      <c r="L8" s="17">
        <v>1.3281214966071686E-2</v>
      </c>
      <c r="M8" s="16">
        <v>52</v>
      </c>
      <c r="N8" s="34">
        <v>1.7499999999999998E-3</v>
      </c>
      <c r="O8" s="25">
        <v>5.1344619361795629E-2</v>
      </c>
      <c r="P8" s="15">
        <v>52899.718965357424</v>
      </c>
      <c r="Q8" s="17">
        <v>1.5054457092262125E-2</v>
      </c>
      <c r="R8" s="34">
        <v>0.2</v>
      </c>
      <c r="S8" s="15">
        <v>61582.847975648619</v>
      </c>
      <c r="T8" s="34">
        <v>-0.2</v>
      </c>
      <c r="U8" s="15">
        <v>41055.231983765741</v>
      </c>
      <c r="V8" s="34">
        <v>0.1</v>
      </c>
      <c r="W8" s="34">
        <v>-0.1</v>
      </c>
      <c r="X8" s="25">
        <v>5.1344619361795629E-2</v>
      </c>
      <c r="Y8" s="18">
        <v>9.8739652618837757E-4</v>
      </c>
      <c r="Z8" s="15">
        <v>1017.3022877953352</v>
      </c>
      <c r="AA8" s="15">
        <v>6978.5766331051955</v>
      </c>
      <c r="AB8" s="60">
        <v>1</v>
      </c>
      <c r="AC8" s="14">
        <v>0</v>
      </c>
      <c r="AD8" s="15">
        <v>0</v>
      </c>
      <c r="AE8" s="29"/>
      <c r="AF8" s="20">
        <v>0</v>
      </c>
      <c r="AG8" s="10">
        <v>0.85</v>
      </c>
      <c r="AH8" s="29"/>
      <c r="AI8" s="20">
        <v>0</v>
      </c>
      <c r="AJ8" s="29"/>
      <c r="AK8" s="20">
        <v>0</v>
      </c>
      <c r="AL8" s="15">
        <v>1017.3022877953352</v>
      </c>
      <c r="AM8" s="15">
        <v>6978.5766331051955</v>
      </c>
      <c r="AN8" s="15">
        <v>0</v>
      </c>
      <c r="AO8" s="39">
        <v>1262.3367284325661</v>
      </c>
      <c r="AP8" s="15">
        <v>7574.0203705953963</v>
      </c>
      <c r="AQ8" s="34">
        <v>0</v>
      </c>
      <c r="AR8" s="15">
        <v>0</v>
      </c>
      <c r="AS8" s="15">
        <v>0</v>
      </c>
      <c r="AT8" s="34">
        <v>1</v>
      </c>
      <c r="AU8" s="15">
        <v>-245.03444063723089</v>
      </c>
      <c r="AV8" s="15">
        <v>-595.4437374902019</v>
      </c>
      <c r="AW8" s="39">
        <v>576.92307692307691</v>
      </c>
      <c r="AX8" s="39">
        <v>6401.6535561821183</v>
      </c>
      <c r="AY8" s="15">
        <v>851.56694075453686</v>
      </c>
      <c r="AZ8" s="19">
        <v>0.22</v>
      </c>
      <c r="BA8" s="19">
        <v>0.1</v>
      </c>
      <c r="BB8" s="19">
        <v>0.1</v>
      </c>
      <c r="BD8" s="19">
        <v>0.37</v>
      </c>
      <c r="BE8" s="22">
        <v>751600</v>
      </c>
      <c r="BF8" s="22">
        <v>626350</v>
      </c>
    </row>
    <row r="9" spans="1:58" ht="18.75" thickBot="1" x14ac:dyDescent="0.4">
      <c r="A9" s="59">
        <v>45711</v>
      </c>
      <c r="B9" s="57">
        <v>66458.954326148887</v>
      </c>
      <c r="C9" s="49">
        <v>6.4796530995467422E-2</v>
      </c>
      <c r="D9" s="29">
        <v>237384.86329443895</v>
      </c>
      <c r="E9" s="49">
        <v>0.23144685028937981</v>
      </c>
      <c r="F9" s="29">
        <v>642919.82789559988</v>
      </c>
      <c r="G9" s="49">
        <v>0.62683764705949807</v>
      </c>
      <c r="H9" s="30">
        <v>78892.408984596506</v>
      </c>
      <c r="I9" s="49">
        <v>7.6918971655654755E-2</v>
      </c>
      <c r="J9" s="14">
        <v>1025656.0545007841</v>
      </c>
      <c r="K9" s="14">
        <v>-4631.4346829201095</v>
      </c>
      <c r="L9" s="17">
        <v>-4.4952838227605681E-3</v>
      </c>
      <c r="M9" s="16">
        <v>52</v>
      </c>
      <c r="N9" s="34">
        <v>1.7499999999999998E-3</v>
      </c>
      <c r="O9" s="25">
        <v>5.1434472445678767E-2</v>
      </c>
      <c r="P9" s="15">
        <v>52754.078073964178</v>
      </c>
      <c r="Q9" s="17">
        <v>-2.753150569450523E-3</v>
      </c>
      <c r="R9" s="34">
        <v>0.2</v>
      </c>
      <c r="S9" s="15">
        <v>61582.847975648619</v>
      </c>
      <c r="T9" s="34">
        <v>-0.2</v>
      </c>
      <c r="U9" s="15">
        <v>41055.231983765741</v>
      </c>
      <c r="V9" s="34">
        <v>0.1</v>
      </c>
      <c r="W9" s="34">
        <v>-0.1</v>
      </c>
      <c r="X9" s="25">
        <v>5.1434472445678767E-2</v>
      </c>
      <c r="Y9" s="18">
        <v>9.8912447010920707E-4</v>
      </c>
      <c r="Z9" s="15">
        <v>1014.5015014223882</v>
      </c>
      <c r="AA9" s="15">
        <v>7993.0781345275836</v>
      </c>
      <c r="AB9" s="60">
        <v>1</v>
      </c>
      <c r="AC9" s="14">
        <v>0</v>
      </c>
      <c r="AD9" s="15">
        <v>0</v>
      </c>
      <c r="AE9" s="29"/>
      <c r="AF9" s="20">
        <v>0</v>
      </c>
      <c r="AG9" s="10">
        <v>0.85</v>
      </c>
      <c r="AH9" s="29"/>
      <c r="AI9" s="20">
        <v>0</v>
      </c>
      <c r="AJ9" s="29"/>
      <c r="AK9" s="20">
        <v>0</v>
      </c>
      <c r="AL9" s="15">
        <v>1014.5015014223882</v>
      </c>
      <c r="AM9" s="15">
        <v>7993.0781345275836</v>
      </c>
      <c r="AN9" s="15">
        <v>0</v>
      </c>
      <c r="AO9" s="39">
        <v>1262.3367284325661</v>
      </c>
      <c r="AP9" s="15">
        <v>8836.3570990279622</v>
      </c>
      <c r="AQ9" s="34">
        <v>0</v>
      </c>
      <c r="AR9" s="15">
        <v>0</v>
      </c>
      <c r="AS9" s="15">
        <v>0</v>
      </c>
      <c r="AT9" s="34">
        <v>1</v>
      </c>
      <c r="AU9" s="15">
        <v>-247.83522701017796</v>
      </c>
      <c r="AV9" s="15">
        <v>-843.27896450037986</v>
      </c>
      <c r="AW9" s="39">
        <v>576.92307692307691</v>
      </c>
      <c r="AX9" s="39">
        <v>7416.1550576045065</v>
      </c>
      <c r="AY9" s="15">
        <v>851.56694075453686</v>
      </c>
      <c r="AZ9" s="19">
        <v>0.22</v>
      </c>
      <c r="BA9" s="19">
        <v>0.1</v>
      </c>
      <c r="BB9" s="19">
        <v>0.1</v>
      </c>
    </row>
    <row r="10" spans="1:58" ht="18.75" thickBot="1" x14ac:dyDescent="0.4">
      <c r="A10" s="59">
        <v>45718</v>
      </c>
      <c r="B10" s="57">
        <v>65453.187272766882</v>
      </c>
      <c r="C10" s="49">
        <v>6.5101235459274584E-2</v>
      </c>
      <c r="D10" s="29">
        <v>236012.34319877008</v>
      </c>
      <c r="E10" s="49">
        <v>0.23474326867915635</v>
      </c>
      <c r="F10" s="29">
        <v>628780.13847411994</v>
      </c>
      <c r="G10" s="49">
        <v>0.62539909135869576</v>
      </c>
      <c r="H10" s="30">
        <v>75160.554315842775</v>
      </c>
      <c r="I10" s="49">
        <v>7.4756404502873269E-2</v>
      </c>
      <c r="J10" s="14">
        <v>1005406.2232614997</v>
      </c>
      <c r="K10" s="14">
        <v>-20249.831239284482</v>
      </c>
      <c r="L10" s="17">
        <v>-1.9743296157053981E-2</v>
      </c>
      <c r="M10" s="16">
        <v>52</v>
      </c>
      <c r="N10" s="34">
        <v>1.7499999999999998E-3</v>
      </c>
      <c r="O10" s="25">
        <v>5.1524482772458698E-2</v>
      </c>
      <c r="P10" s="15">
        <v>51803.035629759899</v>
      </c>
      <c r="Q10" s="17">
        <v>-1.8027846925328952E-2</v>
      </c>
      <c r="R10" s="34">
        <v>0.2</v>
      </c>
      <c r="S10" s="15">
        <v>61582.847975648619</v>
      </c>
      <c r="T10" s="34">
        <v>-0.2</v>
      </c>
      <c r="U10" s="15">
        <v>41055.231983765741</v>
      </c>
      <c r="V10" s="34">
        <v>0.1</v>
      </c>
      <c r="W10" s="34">
        <v>-0.1</v>
      </c>
      <c r="X10" s="25">
        <v>5.1524482772458698E-2</v>
      </c>
      <c r="Y10" s="18">
        <v>9.9085543793189811E-4</v>
      </c>
      <c r="Z10" s="15">
        <v>996.21222364922903</v>
      </c>
      <c r="AA10" s="15">
        <v>8989.2903581768132</v>
      </c>
      <c r="AB10" s="60">
        <v>1</v>
      </c>
      <c r="AC10" s="14">
        <v>0</v>
      </c>
      <c r="AD10" s="15">
        <v>0</v>
      </c>
      <c r="AE10" s="29"/>
      <c r="AF10" s="20">
        <v>0</v>
      </c>
      <c r="AG10" s="10">
        <v>0.85</v>
      </c>
      <c r="AH10" s="29"/>
      <c r="AI10" s="20">
        <v>0</v>
      </c>
      <c r="AJ10" s="29"/>
      <c r="AK10" s="20">
        <v>0</v>
      </c>
      <c r="AL10" s="15">
        <v>996.21222364922903</v>
      </c>
      <c r="AM10" s="15">
        <v>8989.2903581768132</v>
      </c>
      <c r="AN10" s="15">
        <v>0</v>
      </c>
      <c r="AO10" s="39">
        <v>1262.3367284325661</v>
      </c>
      <c r="AP10" s="15">
        <v>10098.693827460529</v>
      </c>
      <c r="AQ10" s="34">
        <v>0</v>
      </c>
      <c r="AR10" s="15">
        <v>0</v>
      </c>
      <c r="AS10" s="15">
        <v>0</v>
      </c>
      <c r="AT10" s="34">
        <v>1</v>
      </c>
      <c r="AU10" s="15">
        <v>-266.1245047833371</v>
      </c>
      <c r="AV10" s="15">
        <v>-1109.403469283717</v>
      </c>
      <c r="AW10" s="39">
        <v>576.92307692307691</v>
      </c>
      <c r="AX10" s="39">
        <v>8412.367281253737</v>
      </c>
      <c r="AY10" s="15">
        <v>851.56694075453686</v>
      </c>
      <c r="AZ10" s="19">
        <v>0.22</v>
      </c>
      <c r="BA10" s="19">
        <v>0.1</v>
      </c>
      <c r="BB10" s="19">
        <v>0.1</v>
      </c>
    </row>
    <row r="11" spans="1:58" ht="18.75" thickBot="1" x14ac:dyDescent="0.4">
      <c r="A11" s="59">
        <v>45725</v>
      </c>
      <c r="B11" s="57">
        <v>64527.037286823659</v>
      </c>
      <c r="C11" s="49">
        <v>6.5097920733159884E-2</v>
      </c>
      <c r="D11" s="29">
        <v>234030.41209492352</v>
      </c>
      <c r="E11" s="49">
        <v>0.23610092538395561</v>
      </c>
      <c r="F11" s="29">
        <v>617274.96156580851</v>
      </c>
      <c r="G11" s="49">
        <v>0.62273611509482241</v>
      </c>
      <c r="H11" s="30">
        <v>75397.977981818767</v>
      </c>
      <c r="I11" s="49">
        <v>7.6065038788062117E-2</v>
      </c>
      <c r="J11" s="14">
        <v>991230.3889293744</v>
      </c>
      <c r="K11" s="14">
        <v>-14175.834332125261</v>
      </c>
      <c r="L11" s="17">
        <v>-1.4099608699595466E-2</v>
      </c>
      <c r="M11" s="16">
        <v>52</v>
      </c>
      <c r="N11" s="34">
        <v>1.7499999999999998E-3</v>
      </c>
      <c r="O11" s="25">
        <v>5.1614650617310499E-2</v>
      </c>
      <c r="P11" s="15">
        <v>51162.010205850464</v>
      </c>
      <c r="Q11" s="17">
        <v>-1.2374283014819661E-2</v>
      </c>
      <c r="R11" s="34">
        <v>0.2</v>
      </c>
      <c r="S11" s="15">
        <v>61582.847975648619</v>
      </c>
      <c r="T11" s="34">
        <v>-0.2</v>
      </c>
      <c r="U11" s="15">
        <v>41055.231983765741</v>
      </c>
      <c r="V11" s="34">
        <v>0.1</v>
      </c>
      <c r="W11" s="34">
        <v>-0.1</v>
      </c>
      <c r="X11" s="25">
        <v>5.1614650617310499E-2</v>
      </c>
      <c r="Y11" s="18">
        <v>9.9258943494827888E-4</v>
      </c>
      <c r="Z11" s="15">
        <v>983.88481165097039</v>
      </c>
      <c r="AA11" s="15">
        <v>9973.175169827784</v>
      </c>
      <c r="AB11" s="60">
        <v>1</v>
      </c>
      <c r="AC11" s="14">
        <v>0</v>
      </c>
      <c r="AD11" s="15">
        <v>0</v>
      </c>
      <c r="AE11" s="29"/>
      <c r="AF11" s="20">
        <v>0</v>
      </c>
      <c r="AG11" s="10">
        <v>0.85</v>
      </c>
      <c r="AH11" s="29"/>
      <c r="AI11" s="20">
        <v>0</v>
      </c>
      <c r="AJ11" s="29"/>
      <c r="AK11" s="20">
        <v>0</v>
      </c>
      <c r="AL11" s="15">
        <v>983.88481165097039</v>
      </c>
      <c r="AM11" s="15">
        <v>9973.175169827784</v>
      </c>
      <c r="AN11" s="15">
        <v>0</v>
      </c>
      <c r="AO11" s="39">
        <v>1262.3367284325661</v>
      </c>
      <c r="AP11" s="15">
        <v>11361.030555893096</v>
      </c>
      <c r="AQ11" s="34">
        <v>0</v>
      </c>
      <c r="AR11" s="15">
        <v>0</v>
      </c>
      <c r="AS11" s="15">
        <v>0</v>
      </c>
      <c r="AT11" s="34">
        <v>1</v>
      </c>
      <c r="AU11" s="15">
        <v>-278.45191678159574</v>
      </c>
      <c r="AV11" s="15">
        <v>-1387.8553860653128</v>
      </c>
      <c r="AW11" s="39">
        <v>576.92307692307691</v>
      </c>
      <c r="AX11" s="39">
        <v>9396.2520929047078</v>
      </c>
      <c r="AY11" s="15">
        <v>851.56694075453686</v>
      </c>
      <c r="AZ11" s="19">
        <v>0.22</v>
      </c>
      <c r="BA11" s="19">
        <v>0.1</v>
      </c>
      <c r="BB11" s="19">
        <v>0.1</v>
      </c>
    </row>
    <row r="12" spans="1:58" ht="18.75" thickBot="1" x14ac:dyDescent="0.4">
      <c r="A12" s="59">
        <v>45732</v>
      </c>
      <c r="B12" s="57">
        <v>63930.060158857326</v>
      </c>
      <c r="C12" s="49">
        <v>6.5437764956125161E-2</v>
      </c>
      <c r="D12" s="29">
        <v>230630.09790539413</v>
      </c>
      <c r="E12" s="49">
        <v>0.2360691997010482</v>
      </c>
      <c r="F12" s="29">
        <v>606976.19600561413</v>
      </c>
      <c r="G12" s="49">
        <v>0.62129091619000076</v>
      </c>
      <c r="H12" s="30">
        <v>75423.360274309816</v>
      </c>
      <c r="I12" s="49">
        <v>7.7202119152825946E-2</v>
      </c>
      <c r="J12" s="14">
        <v>976959.7143441753</v>
      </c>
      <c r="K12" s="14">
        <v>-14270.6745851991</v>
      </c>
      <c r="L12" s="17">
        <v>-1.4396930062457854E-2</v>
      </c>
      <c r="M12" s="16">
        <v>52</v>
      </c>
      <c r="N12" s="34">
        <v>8.0000000000000004E-4</v>
      </c>
      <c r="O12" s="25">
        <v>5.1655942337804343E-2</v>
      </c>
      <c r="P12" s="15">
        <v>50465.774670520521</v>
      </c>
      <c r="Q12" s="17">
        <v>-1.3608447606507982E-2</v>
      </c>
      <c r="R12" s="34">
        <v>0.2</v>
      </c>
      <c r="S12" s="15">
        <v>61582.847975648619</v>
      </c>
      <c r="T12" s="34">
        <v>-0.2</v>
      </c>
      <c r="U12" s="15">
        <v>41055.231983765741</v>
      </c>
      <c r="V12" s="34">
        <v>0.1</v>
      </c>
      <c r="W12" s="34">
        <v>-0.1</v>
      </c>
      <c r="X12" s="25">
        <v>5.1655942337804343E-2</v>
      </c>
      <c r="Y12" s="18">
        <v>9.9338350649623734E-4</v>
      </c>
      <c r="Z12" s="15">
        <v>970.49566674077926</v>
      </c>
      <c r="AA12" s="15">
        <v>10943.670836568563</v>
      </c>
      <c r="AB12" s="60">
        <v>1</v>
      </c>
      <c r="AC12" s="14">
        <v>0</v>
      </c>
      <c r="AD12" s="15">
        <v>0</v>
      </c>
      <c r="AE12" s="29"/>
      <c r="AF12" s="20">
        <v>0</v>
      </c>
      <c r="AG12" s="10">
        <v>0.85</v>
      </c>
      <c r="AH12" s="29"/>
      <c r="AI12" s="20">
        <v>0</v>
      </c>
      <c r="AJ12" s="29"/>
      <c r="AK12" s="20">
        <v>0</v>
      </c>
      <c r="AL12" s="15">
        <v>970.49566674077926</v>
      </c>
      <c r="AM12" s="15">
        <v>10943.670836568563</v>
      </c>
      <c r="AN12" s="15">
        <v>0</v>
      </c>
      <c r="AO12" s="39">
        <v>1262.3367284325661</v>
      </c>
      <c r="AP12" s="15">
        <v>12623.367284325663</v>
      </c>
      <c r="AQ12" s="34">
        <v>0</v>
      </c>
      <c r="AR12" s="15">
        <v>0</v>
      </c>
      <c r="AS12" s="15">
        <v>0</v>
      </c>
      <c r="AT12" s="34">
        <v>1</v>
      </c>
      <c r="AU12" s="15">
        <v>-291.84106169178688</v>
      </c>
      <c r="AV12" s="15">
        <v>-1679.6964477570996</v>
      </c>
      <c r="AW12" s="39">
        <v>576.92307692307691</v>
      </c>
      <c r="AX12" s="39">
        <v>10366.747759645486</v>
      </c>
      <c r="AY12" s="15">
        <v>851.56694075453686</v>
      </c>
      <c r="AZ12" s="19">
        <v>0.22</v>
      </c>
      <c r="BA12" s="19">
        <v>0.1</v>
      </c>
      <c r="BB12" s="19">
        <v>0.1</v>
      </c>
    </row>
    <row r="13" spans="1:58" ht="18.75" thickBot="1" x14ac:dyDescent="0.4">
      <c r="A13" s="59">
        <v>45739</v>
      </c>
      <c r="B13" s="57">
        <v>64010.996440095761</v>
      </c>
      <c r="C13" s="49">
        <v>6.5310110757519899E-2</v>
      </c>
      <c r="D13" s="29">
        <v>231490.68567355865</v>
      </c>
      <c r="E13" s="49">
        <v>0.23618882944312625</v>
      </c>
      <c r="F13" s="29">
        <v>611324.25892197643</v>
      </c>
      <c r="G13" s="49">
        <v>0.62373119119176956</v>
      </c>
      <c r="H13" s="30">
        <v>73282.585770464779</v>
      </c>
      <c r="I13" s="49">
        <v>7.4769868607584292E-2</v>
      </c>
      <c r="J13" s="14">
        <v>980108.52680609562</v>
      </c>
      <c r="K13" s="14">
        <v>3148.8124619203154</v>
      </c>
      <c r="L13" s="17">
        <v>3.2230729841650494E-3</v>
      </c>
      <c r="M13" s="16">
        <v>52</v>
      </c>
      <c r="N13" s="34">
        <v>8.0000000000000004E-4</v>
      </c>
      <c r="O13" s="25">
        <v>5.1697267091674583E-2</v>
      </c>
      <c r="P13" s="15">
        <v>50668.932289122422</v>
      </c>
      <c r="Q13" s="17">
        <v>4.0256514425523159E-3</v>
      </c>
      <c r="R13" s="34">
        <v>0.2</v>
      </c>
      <c r="S13" s="15">
        <v>61582.847975648619</v>
      </c>
      <c r="T13" s="34">
        <v>-0.2</v>
      </c>
      <c r="U13" s="15">
        <v>41055.231983765741</v>
      </c>
      <c r="V13" s="34">
        <v>0.1</v>
      </c>
      <c r="W13" s="34">
        <v>-0.1</v>
      </c>
      <c r="X13" s="25">
        <v>5.1697267091674583E-2</v>
      </c>
      <c r="Y13" s="18">
        <v>9.9417821330143432E-4</v>
      </c>
      <c r="Z13" s="15">
        <v>974.40254402158507</v>
      </c>
      <c r="AA13" s="15">
        <v>11918.073380590147</v>
      </c>
      <c r="AB13" s="60">
        <v>1</v>
      </c>
      <c r="AC13" s="14">
        <v>0</v>
      </c>
      <c r="AD13" s="15">
        <v>0</v>
      </c>
      <c r="AE13" s="29"/>
      <c r="AF13" s="20">
        <v>0</v>
      </c>
      <c r="AG13" s="10">
        <v>0.85</v>
      </c>
      <c r="AH13" s="29"/>
      <c r="AI13" s="20">
        <v>0</v>
      </c>
      <c r="AJ13" s="29"/>
      <c r="AK13" s="20">
        <v>0</v>
      </c>
      <c r="AL13" s="15">
        <v>974.40254402158507</v>
      </c>
      <c r="AM13" s="15">
        <v>11918.073380590147</v>
      </c>
      <c r="AN13" s="15">
        <v>0</v>
      </c>
      <c r="AO13" s="39">
        <v>1262.3367284325661</v>
      </c>
      <c r="AP13" s="15">
        <v>13885.70401275823</v>
      </c>
      <c r="AQ13" s="34">
        <v>0</v>
      </c>
      <c r="AR13" s="15">
        <v>0</v>
      </c>
      <c r="AS13" s="15">
        <v>0</v>
      </c>
      <c r="AT13" s="34">
        <v>1</v>
      </c>
      <c r="AU13" s="15">
        <v>-287.93418441098106</v>
      </c>
      <c r="AV13" s="15">
        <v>-1967.6306321680806</v>
      </c>
      <c r="AW13" s="39">
        <v>576.92307692307691</v>
      </c>
      <c r="AX13" s="39">
        <v>11341.150303667071</v>
      </c>
      <c r="AY13" s="15">
        <v>851.56694075453686</v>
      </c>
      <c r="AZ13" s="19">
        <v>0.22</v>
      </c>
      <c r="BA13" s="19">
        <v>0.1</v>
      </c>
      <c r="BB13" s="19">
        <v>0.1</v>
      </c>
    </row>
    <row r="14" spans="1:58" ht="18.75" thickBot="1" x14ac:dyDescent="0.4">
      <c r="A14" s="59">
        <v>45746</v>
      </c>
      <c r="B14" s="57">
        <v>62707.052250035202</v>
      </c>
      <c r="C14" s="49">
        <v>6.4903079985846948E-2</v>
      </c>
      <c r="D14" s="29">
        <v>228816.43813125204</v>
      </c>
      <c r="E14" s="49">
        <v>0.23682968746311805</v>
      </c>
      <c r="F14" s="29">
        <v>602688.97940784635</v>
      </c>
      <c r="G14" s="49">
        <v>0.623795404719793</v>
      </c>
      <c r="H14" s="30">
        <v>71952.036790667742</v>
      </c>
      <c r="I14" s="49">
        <v>7.4471827831241885E-2</v>
      </c>
      <c r="J14" s="14">
        <v>966164.50657980144</v>
      </c>
      <c r="K14" s="14">
        <v>-13944.020226294175</v>
      </c>
      <c r="L14" s="17">
        <v>-1.4227016544518703E-2</v>
      </c>
      <c r="M14" s="16">
        <v>52</v>
      </c>
      <c r="N14" s="34">
        <v>8.0000000000000004E-4</v>
      </c>
      <c r="O14" s="25">
        <v>5.1738624905347919E-2</v>
      </c>
      <c r="P14" s="15">
        <v>49988.023002792899</v>
      </c>
      <c r="Q14" s="17">
        <v>-1.3438398157754352E-2</v>
      </c>
      <c r="R14" s="34">
        <v>0.2</v>
      </c>
      <c r="S14" s="15">
        <v>61582.847975648619</v>
      </c>
      <c r="T14" s="34">
        <v>-0.2</v>
      </c>
      <c r="U14" s="15">
        <v>41055.231983765741</v>
      </c>
      <c r="V14" s="34">
        <v>0.1</v>
      </c>
      <c r="W14" s="34">
        <v>-0.1</v>
      </c>
      <c r="X14" s="25">
        <v>5.1738624905347919E-2</v>
      </c>
      <c r="Y14" s="18">
        <v>9.9497355587207527E-4</v>
      </c>
      <c r="Z14" s="15">
        <v>961.3081346690941</v>
      </c>
      <c r="AA14" s="15">
        <v>12879.381515259241</v>
      </c>
      <c r="AB14" s="60">
        <v>1</v>
      </c>
      <c r="AC14" s="14">
        <v>0</v>
      </c>
      <c r="AD14" s="15">
        <v>0</v>
      </c>
      <c r="AE14" s="29"/>
      <c r="AF14" s="20">
        <v>0</v>
      </c>
      <c r="AG14" s="10">
        <v>0.85</v>
      </c>
      <c r="AH14" s="29"/>
      <c r="AI14" s="20">
        <v>0</v>
      </c>
      <c r="AJ14" s="29"/>
      <c r="AK14" s="20">
        <v>0</v>
      </c>
      <c r="AL14" s="15">
        <v>961.3081346690941</v>
      </c>
      <c r="AM14" s="15">
        <v>12879.381515259241</v>
      </c>
      <c r="AN14" s="15">
        <v>0</v>
      </c>
      <c r="AO14" s="39">
        <v>1262.3367284325661</v>
      </c>
      <c r="AP14" s="15">
        <v>15148.040741190796</v>
      </c>
      <c r="AQ14" s="34">
        <v>0</v>
      </c>
      <c r="AR14" s="15">
        <v>0</v>
      </c>
      <c r="AS14" s="15">
        <v>0</v>
      </c>
      <c r="AT14" s="34">
        <v>1</v>
      </c>
      <c r="AU14" s="15">
        <v>-301.02859376347203</v>
      </c>
      <c r="AV14" s="15">
        <v>-2268.6592259315526</v>
      </c>
      <c r="AW14" s="39">
        <v>576.92307692307691</v>
      </c>
      <c r="AX14" s="39">
        <v>12302.458438336165</v>
      </c>
      <c r="AY14" s="15">
        <v>851.56694075453686</v>
      </c>
      <c r="AZ14" s="19">
        <v>0.22</v>
      </c>
      <c r="BA14" s="19">
        <v>0.1</v>
      </c>
      <c r="BB14" s="19">
        <v>0.12</v>
      </c>
    </row>
    <row r="15" spans="1:58" ht="18.75" thickBot="1" x14ac:dyDescent="0.4">
      <c r="A15" s="59">
        <v>45753</v>
      </c>
      <c r="B15" s="57">
        <v>57985.40423399541</v>
      </c>
      <c r="C15" s="49">
        <v>6.4766787491435954E-2</v>
      </c>
      <c r="D15" s="29">
        <v>211782.43618864202</v>
      </c>
      <c r="E15" s="49">
        <v>0.23655035642584599</v>
      </c>
      <c r="F15" s="29">
        <v>554248.70213154389</v>
      </c>
      <c r="G15" s="49">
        <v>0.61906799448183236</v>
      </c>
      <c r="H15" s="30">
        <v>71278.816068674016</v>
      </c>
      <c r="I15" s="49">
        <v>7.9614861600885767E-2</v>
      </c>
      <c r="J15" s="14">
        <v>895295.35862285527</v>
      </c>
      <c r="K15" s="14">
        <v>-70869.147956946166</v>
      </c>
      <c r="L15" s="17">
        <v>-7.3351015768340744E-2</v>
      </c>
      <c r="M15" s="16">
        <v>52</v>
      </c>
      <c r="N15" s="34">
        <v>8.0000000000000004E-4</v>
      </c>
      <c r="O15" s="25">
        <v>5.1780015805272195E-2</v>
      </c>
      <c r="P15" s="15">
        <v>46358.407819878281</v>
      </c>
      <c r="Q15" s="17">
        <v>-7.2609696580955535E-2</v>
      </c>
      <c r="R15" s="34">
        <v>0.2</v>
      </c>
      <c r="S15" s="15">
        <v>61582.847975648619</v>
      </c>
      <c r="T15" s="34">
        <v>-0.2</v>
      </c>
      <c r="U15" s="15">
        <v>41055.231983765741</v>
      </c>
      <c r="V15" s="34">
        <v>0.1</v>
      </c>
      <c r="W15" s="34">
        <v>-0.1</v>
      </c>
      <c r="X15" s="25">
        <v>5.1780015805272195E-2</v>
      </c>
      <c r="Y15" s="18">
        <v>9.9576953471677289E-4</v>
      </c>
      <c r="Z15" s="15">
        <v>891.50784268996688</v>
      </c>
      <c r="AA15" s="15">
        <v>13770.889357949209</v>
      </c>
      <c r="AB15" s="60">
        <v>1</v>
      </c>
      <c r="AC15" s="14">
        <v>0</v>
      </c>
      <c r="AD15" s="15">
        <v>0</v>
      </c>
      <c r="AE15" s="29"/>
      <c r="AF15" s="20">
        <v>0</v>
      </c>
      <c r="AG15" s="10">
        <v>0.85</v>
      </c>
      <c r="AH15" s="29"/>
      <c r="AI15" s="20">
        <v>0</v>
      </c>
      <c r="AJ15" s="29"/>
      <c r="AK15" s="20">
        <v>0</v>
      </c>
      <c r="AL15" s="15">
        <v>891.50784268996688</v>
      </c>
      <c r="AM15" s="15">
        <v>13770.889357949209</v>
      </c>
      <c r="AN15" s="15">
        <v>0</v>
      </c>
      <c r="AO15" s="39">
        <v>1262.3367284325661</v>
      </c>
      <c r="AP15" s="15">
        <v>16410.377469623363</v>
      </c>
      <c r="AQ15" s="34">
        <v>0</v>
      </c>
      <c r="AR15" s="15">
        <v>0</v>
      </c>
      <c r="AS15" s="15">
        <v>0</v>
      </c>
      <c r="AT15" s="34">
        <v>1</v>
      </c>
      <c r="AU15" s="15">
        <v>-370.82888574259925</v>
      </c>
      <c r="AV15" s="15">
        <v>-2639.4881116741517</v>
      </c>
      <c r="AW15" s="39">
        <v>576.92307692307691</v>
      </c>
      <c r="AX15" s="39">
        <v>13193.966281026132</v>
      </c>
      <c r="AY15" s="15">
        <v>851.56694075453686</v>
      </c>
      <c r="AZ15" s="19">
        <v>0.22</v>
      </c>
      <c r="BA15" s="19">
        <v>0.1</v>
      </c>
      <c r="BB15" s="19">
        <v>0.12</v>
      </c>
    </row>
    <row r="16" spans="1:58" ht="18.75" thickBot="1" x14ac:dyDescent="0.4">
      <c r="A16" s="59">
        <v>45760</v>
      </c>
      <c r="B16" s="57">
        <v>60823.772031499117</v>
      </c>
      <c r="C16" s="49">
        <v>6.6572181949005105E-2</v>
      </c>
      <c r="D16" s="29">
        <v>218716.48698858655</v>
      </c>
      <c r="E16" s="49">
        <v>0.23938722115936686</v>
      </c>
      <c r="F16" s="29">
        <v>567087.90207828011</v>
      </c>
      <c r="G16" s="49">
        <v>0.62068296222542552</v>
      </c>
      <c r="H16" s="30">
        <v>67023.310894705879</v>
      </c>
      <c r="I16" s="49">
        <v>7.3357634666202473E-2</v>
      </c>
      <c r="J16" s="14">
        <v>913651.47199307173</v>
      </c>
      <c r="K16" s="14">
        <v>18356.113370216452</v>
      </c>
      <c r="L16" s="17">
        <v>2.0502857736749418E-2</v>
      </c>
      <c r="M16" s="16">
        <v>52</v>
      </c>
      <c r="N16" s="34">
        <v>8.0000000000000004E-4</v>
      </c>
      <c r="O16" s="25">
        <v>5.1821439817916405E-2</v>
      </c>
      <c r="P16" s="15">
        <v>47346.734770439703</v>
      </c>
      <c r="Q16" s="17">
        <v>2.1319260022938758E-2</v>
      </c>
      <c r="R16" s="34">
        <v>0.2</v>
      </c>
      <c r="S16" s="15">
        <v>61582.847975648619</v>
      </c>
      <c r="T16" s="34">
        <v>-0.2</v>
      </c>
      <c r="U16" s="15">
        <v>41055.231983765741</v>
      </c>
      <c r="V16" s="34">
        <v>0.1</v>
      </c>
      <c r="W16" s="34">
        <v>-0.1</v>
      </c>
      <c r="X16" s="25">
        <v>5.1821439817916405E-2</v>
      </c>
      <c r="Y16" s="18">
        <v>9.9656615034454622E-4</v>
      </c>
      <c r="Z16" s="15">
        <v>910.51413020076347</v>
      </c>
      <c r="AA16" s="15">
        <v>14681.403488149972</v>
      </c>
      <c r="AB16" s="60">
        <v>1</v>
      </c>
      <c r="AC16" s="14">
        <v>0</v>
      </c>
      <c r="AD16" s="15">
        <v>0</v>
      </c>
      <c r="AE16" s="29"/>
      <c r="AF16" s="20">
        <v>0</v>
      </c>
      <c r="AG16" s="10">
        <v>0.85</v>
      </c>
      <c r="AH16" s="29"/>
      <c r="AI16" s="20">
        <v>0</v>
      </c>
      <c r="AJ16" s="29"/>
      <c r="AK16" s="20">
        <v>0</v>
      </c>
      <c r="AL16" s="15">
        <v>910.51413020076347</v>
      </c>
      <c r="AM16" s="15">
        <v>14681.403488149972</v>
      </c>
      <c r="AN16" s="15">
        <v>0</v>
      </c>
      <c r="AO16" s="39">
        <v>1262.3367284325661</v>
      </c>
      <c r="AP16" s="15">
        <v>17672.714198055928</v>
      </c>
      <c r="AQ16" s="34">
        <v>0</v>
      </c>
      <c r="AR16" s="15">
        <v>0</v>
      </c>
      <c r="AS16" s="15">
        <v>0</v>
      </c>
      <c r="AT16" s="34">
        <v>1</v>
      </c>
      <c r="AU16" s="15">
        <v>-351.82259823180266</v>
      </c>
      <c r="AV16" s="15">
        <v>-2991.3107099059544</v>
      </c>
      <c r="AW16" s="39">
        <v>576.92307692307691</v>
      </c>
      <c r="AX16" s="39">
        <v>14104.480411226896</v>
      </c>
      <c r="AY16" s="15">
        <v>851.56694075453686</v>
      </c>
      <c r="AZ16" s="19">
        <v>0.22</v>
      </c>
      <c r="BA16" s="19">
        <v>0.1</v>
      </c>
      <c r="BB16" s="19">
        <v>0.12</v>
      </c>
    </row>
    <row r="17" spans="1:54" s="21" customFormat="1" ht="18.75" thickBot="1" x14ac:dyDescent="0.4">
      <c r="A17" s="59">
        <v>45767</v>
      </c>
      <c r="B17" s="57">
        <v>60487.759378807372</v>
      </c>
      <c r="C17" s="49">
        <v>6.5340866967923128E-2</v>
      </c>
      <c r="D17" s="29">
        <v>220221.39657234208</v>
      </c>
      <c r="E17" s="49">
        <v>0.23789039509314625</v>
      </c>
      <c r="F17" s="29">
        <v>577993.83869125636</v>
      </c>
      <c r="G17" s="49">
        <v>0.62436795328604289</v>
      </c>
      <c r="H17" s="30">
        <v>67023.310894705879</v>
      </c>
      <c r="I17" s="49">
        <v>7.2400784652887851E-2</v>
      </c>
      <c r="J17" s="14">
        <v>925726.30553711159</v>
      </c>
      <c r="K17" s="14">
        <v>12074.833544039866</v>
      </c>
      <c r="L17" s="17">
        <v>1.3216017173046737E-2</v>
      </c>
      <c r="M17" s="16">
        <v>52</v>
      </c>
      <c r="N17" s="34">
        <v>4.0000000000000002E-4</v>
      </c>
      <c r="O17" s="25">
        <v>5.184216839384357E-2</v>
      </c>
      <c r="P17" s="15">
        <v>47991.659018265622</v>
      </c>
      <c r="Q17" s="17">
        <v>1.3621303579915889E-2</v>
      </c>
      <c r="R17" s="34">
        <v>0.2</v>
      </c>
      <c r="S17" s="15">
        <v>61582.847975648619</v>
      </c>
      <c r="T17" s="34">
        <v>-0.2</v>
      </c>
      <c r="U17" s="15">
        <v>41055.231983765741</v>
      </c>
      <c r="V17" s="34">
        <v>0.1</v>
      </c>
      <c r="W17" s="34">
        <v>-0.1</v>
      </c>
      <c r="X17" s="25">
        <v>5.184216839384357E-2</v>
      </c>
      <c r="Y17" s="18">
        <v>9.9696477680468409E-4</v>
      </c>
      <c r="Z17" s="15">
        <v>922.91651958203124</v>
      </c>
      <c r="AA17" s="15">
        <v>15604.320007732003</v>
      </c>
      <c r="AB17" s="60">
        <v>1</v>
      </c>
      <c r="AC17" s="14">
        <v>0</v>
      </c>
      <c r="AD17" s="15">
        <v>0</v>
      </c>
      <c r="AE17" s="29"/>
      <c r="AF17" s="20">
        <v>0</v>
      </c>
      <c r="AG17" s="10">
        <v>0.85</v>
      </c>
      <c r="AH17" s="29"/>
      <c r="AI17" s="20">
        <v>0</v>
      </c>
      <c r="AJ17" s="29"/>
      <c r="AK17" s="20">
        <v>0</v>
      </c>
      <c r="AL17" s="15">
        <v>922.91651958203124</v>
      </c>
      <c r="AM17" s="15">
        <v>15604.320007732003</v>
      </c>
      <c r="AN17" s="15">
        <v>0</v>
      </c>
      <c r="AO17" s="39">
        <v>1262.3367284325661</v>
      </c>
      <c r="AP17" s="15">
        <v>18935.050926488493</v>
      </c>
      <c r="AQ17" s="34">
        <v>0</v>
      </c>
      <c r="AR17" s="15">
        <v>0</v>
      </c>
      <c r="AS17" s="15">
        <v>0</v>
      </c>
      <c r="AT17" s="34">
        <v>1</v>
      </c>
      <c r="AU17" s="15">
        <v>-339.42020885053489</v>
      </c>
      <c r="AV17" s="15">
        <v>-3330.7309187564892</v>
      </c>
      <c r="AW17" s="39">
        <v>576.92307692307691</v>
      </c>
      <c r="AX17" s="39">
        <v>15027.396930808927</v>
      </c>
      <c r="AY17" s="15">
        <v>851.56694075453686</v>
      </c>
      <c r="AZ17" s="19">
        <v>0.22</v>
      </c>
      <c r="BA17" s="19">
        <v>0.1</v>
      </c>
      <c r="BB17" s="19">
        <v>0.12</v>
      </c>
    </row>
    <row r="18" spans="1:54" s="21" customFormat="1" ht="18.75" thickBot="1" x14ac:dyDescent="0.4">
      <c r="A18" s="59">
        <v>45774</v>
      </c>
      <c r="B18" s="57">
        <v>63111.698838267832</v>
      </c>
      <c r="C18" s="49">
        <v>6.6087295091905598E-2</v>
      </c>
      <c r="D18" s="29">
        <v>227502.71009456596</v>
      </c>
      <c r="E18" s="49">
        <v>0.23822902905461521</v>
      </c>
      <c r="F18" s="29">
        <v>600737.52562456741</v>
      </c>
      <c r="G18" s="49">
        <v>0.62906115442196242</v>
      </c>
      <c r="H18" s="30">
        <v>63622.826484041063</v>
      </c>
      <c r="I18" s="49">
        <v>6.6622521431516743E-2</v>
      </c>
      <c r="J18" s="14">
        <v>954974.76104144228</v>
      </c>
      <c r="K18" s="14">
        <v>29248.45550433069</v>
      </c>
      <c r="L18" s="17">
        <v>3.1595143542302792E-2</v>
      </c>
      <c r="M18" s="16">
        <v>52</v>
      </c>
      <c r="N18" s="34">
        <v>4.0000000000000002E-4</v>
      </c>
      <c r="O18" s="25">
        <v>5.1862905261201103E-2</v>
      </c>
      <c r="P18" s="15">
        <v>49527.765558730483</v>
      </c>
      <c r="Q18" s="17">
        <v>3.2007781599719641E-2</v>
      </c>
      <c r="R18" s="34">
        <v>0.2</v>
      </c>
      <c r="S18" s="15">
        <v>61582.847975648619</v>
      </c>
      <c r="T18" s="34">
        <v>-0.2</v>
      </c>
      <c r="U18" s="15">
        <v>41055.231983765741</v>
      </c>
      <c r="V18" s="34">
        <v>0.1</v>
      </c>
      <c r="W18" s="34">
        <v>-0.1</v>
      </c>
      <c r="X18" s="25">
        <v>5.1862905261201103E-2</v>
      </c>
      <c r="Y18" s="18">
        <v>9.9736356271540576E-4</v>
      </c>
      <c r="Z18" s="15">
        <v>952.45702997558612</v>
      </c>
      <c r="AA18" s="15">
        <v>16556.77703770759</v>
      </c>
      <c r="AB18" s="60">
        <v>1</v>
      </c>
      <c r="AC18" s="14">
        <v>0</v>
      </c>
      <c r="AD18" s="15">
        <v>0</v>
      </c>
      <c r="AE18" s="29"/>
      <c r="AF18" s="20">
        <v>0</v>
      </c>
      <c r="AG18" s="10">
        <v>0.85</v>
      </c>
      <c r="AH18" s="29"/>
      <c r="AI18" s="20">
        <v>0</v>
      </c>
      <c r="AJ18" s="29"/>
      <c r="AK18" s="20">
        <v>0</v>
      </c>
      <c r="AL18" s="15">
        <v>952.45702997558612</v>
      </c>
      <c r="AM18" s="15">
        <v>16556.77703770759</v>
      </c>
      <c r="AN18" s="15">
        <v>0</v>
      </c>
      <c r="AO18" s="39">
        <v>1262.3367284325661</v>
      </c>
      <c r="AP18" s="15">
        <v>20197.387654921058</v>
      </c>
      <c r="AQ18" s="34">
        <v>0</v>
      </c>
      <c r="AR18" s="15">
        <v>0</v>
      </c>
      <c r="AS18" s="15">
        <v>0</v>
      </c>
      <c r="AT18" s="34">
        <v>1</v>
      </c>
      <c r="AU18" s="15">
        <v>-309.87969845698001</v>
      </c>
      <c r="AV18" s="15">
        <v>-3640.6106172134691</v>
      </c>
      <c r="AW18" s="39">
        <v>576.92307692307691</v>
      </c>
      <c r="AX18" s="39">
        <v>15979.853960784514</v>
      </c>
      <c r="AY18" s="15">
        <v>851.56694075453686</v>
      </c>
      <c r="AZ18" s="19">
        <v>0.22</v>
      </c>
      <c r="BA18" s="19">
        <v>0.1</v>
      </c>
      <c r="BB18" s="19">
        <v>0.12</v>
      </c>
    </row>
    <row r="19" spans="1:54" s="21" customFormat="1" ht="18.75" thickBot="1" x14ac:dyDescent="0.4">
      <c r="A19" s="59">
        <v>45781</v>
      </c>
      <c r="B19" s="57">
        <v>64601.628962104871</v>
      </c>
      <c r="C19" s="49">
        <v>6.6685984744277615E-2</v>
      </c>
      <c r="D19" s="29">
        <v>233485.21701008975</v>
      </c>
      <c r="E19" s="49">
        <v>0.24101856051776377</v>
      </c>
      <c r="F19" s="29">
        <v>607558.85521489277</v>
      </c>
      <c r="G19" s="49">
        <v>0.62716159330715149</v>
      </c>
      <c r="H19" s="30">
        <v>63098.019248838114</v>
      </c>
      <c r="I19" s="49">
        <v>6.5133861430807113E-2</v>
      </c>
      <c r="J19" s="14">
        <v>968743.72043592553</v>
      </c>
      <c r="K19" s="14">
        <v>13768.959394483245</v>
      </c>
      <c r="L19" s="17">
        <v>1.4418139574147055E-2</v>
      </c>
      <c r="M19" s="16">
        <v>52</v>
      </c>
      <c r="N19" s="34">
        <v>4.0000000000000002E-4</v>
      </c>
      <c r="O19" s="25">
        <v>5.1883650423305581E-2</v>
      </c>
      <c r="P19" s="15">
        <v>50261.96054087003</v>
      </c>
      <c r="Q19" s="17">
        <v>1.4823906829976637E-2</v>
      </c>
      <c r="R19" s="34">
        <v>0.2</v>
      </c>
      <c r="S19" s="15">
        <v>61582.847975648619</v>
      </c>
      <c r="T19" s="34">
        <v>-0.2</v>
      </c>
      <c r="U19" s="15">
        <v>41055.231983765741</v>
      </c>
      <c r="V19" s="34">
        <v>0.1</v>
      </c>
      <c r="W19" s="34">
        <v>-0.1</v>
      </c>
      <c r="X19" s="25">
        <v>5.1883650423305581E-2</v>
      </c>
      <c r="Y19" s="18">
        <v>9.9776250814049205E-4</v>
      </c>
      <c r="Z19" s="15">
        <v>966.57616424750074</v>
      </c>
      <c r="AA19" s="15">
        <v>17523.353201955091</v>
      </c>
      <c r="AB19" s="60">
        <v>1</v>
      </c>
      <c r="AC19" s="14">
        <v>0</v>
      </c>
      <c r="AD19" s="15">
        <v>0</v>
      </c>
      <c r="AE19" s="29"/>
      <c r="AF19" s="20">
        <v>0</v>
      </c>
      <c r="AG19" s="10">
        <v>0.85</v>
      </c>
      <c r="AH19" s="29"/>
      <c r="AI19" s="20">
        <v>0</v>
      </c>
      <c r="AJ19" s="29"/>
      <c r="AK19" s="20">
        <v>0</v>
      </c>
      <c r="AL19" s="15">
        <v>966.57616424750074</v>
      </c>
      <c r="AM19" s="15">
        <v>17523.353201955091</v>
      </c>
      <c r="AN19" s="15">
        <v>0</v>
      </c>
      <c r="AO19" s="39">
        <v>1262.3367284325661</v>
      </c>
      <c r="AP19" s="15">
        <v>21459.724383353623</v>
      </c>
      <c r="AQ19" s="34">
        <v>0</v>
      </c>
      <c r="AR19" s="15">
        <v>0</v>
      </c>
      <c r="AS19" s="15">
        <v>0</v>
      </c>
      <c r="AT19" s="34">
        <v>1</v>
      </c>
      <c r="AU19" s="15">
        <v>-295.76056418506539</v>
      </c>
      <c r="AV19" s="15">
        <v>-3936.3711813985346</v>
      </c>
      <c r="AW19" s="39">
        <v>576.92307692307691</v>
      </c>
      <c r="AX19" s="39">
        <v>16946.430125032013</v>
      </c>
      <c r="AY19" s="15">
        <v>851.56694075453686</v>
      </c>
      <c r="AZ19" s="19">
        <v>0.22</v>
      </c>
      <c r="BA19" s="19">
        <v>0.1</v>
      </c>
      <c r="BB19" s="19">
        <v>0.12</v>
      </c>
    </row>
    <row r="20" spans="1:54" s="21" customFormat="1" ht="18.75" thickBot="1" x14ac:dyDescent="0.4">
      <c r="A20" s="59">
        <v>45788</v>
      </c>
      <c r="B20" s="57">
        <v>64266.761433415166</v>
      </c>
      <c r="C20" s="49">
        <v>6.5767685359295253E-2</v>
      </c>
      <c r="D20" s="29">
        <v>232901.47844406587</v>
      </c>
      <c r="E20" s="49">
        <v>0.23834079720811654</v>
      </c>
      <c r="F20" s="29">
        <v>616910.96687964816</v>
      </c>
      <c r="G20" s="49">
        <v>0.63131867017253651</v>
      </c>
      <c r="H20" s="30">
        <v>63099.191453475338</v>
      </c>
      <c r="I20" s="49">
        <v>6.4572847260051691E-2</v>
      </c>
      <c r="J20" s="14">
        <v>977178.39821060456</v>
      </c>
      <c r="K20" s="14">
        <v>8434.6777746790322</v>
      </c>
      <c r="L20" s="17">
        <v>8.7068205932560854E-3</v>
      </c>
      <c r="M20" s="16">
        <v>52</v>
      </c>
      <c r="N20" s="34">
        <v>4.0000000000000002E-4</v>
      </c>
      <c r="O20" s="25">
        <v>5.1904403883474899E-2</v>
      </c>
      <c r="P20" s="15">
        <v>50719.862246930286</v>
      </c>
      <c r="Q20" s="17">
        <v>9.1103033214933599E-3</v>
      </c>
      <c r="R20" s="34">
        <v>0.2</v>
      </c>
      <c r="S20" s="15">
        <v>61582.847975648619</v>
      </c>
      <c r="T20" s="34">
        <v>-0.2</v>
      </c>
      <c r="U20" s="15">
        <v>41055.231983765741</v>
      </c>
      <c r="V20" s="34">
        <v>0.1</v>
      </c>
      <c r="W20" s="34">
        <v>-0.1</v>
      </c>
      <c r="X20" s="25">
        <v>5.1904403883474899E-2</v>
      </c>
      <c r="Y20" s="18">
        <v>9.9816161314374803E-4</v>
      </c>
      <c r="Z20" s="15">
        <v>975.3819662871208</v>
      </c>
      <c r="AA20" s="15">
        <v>18498.735168242212</v>
      </c>
      <c r="AB20" s="60">
        <v>1</v>
      </c>
      <c r="AC20" s="14">
        <v>0</v>
      </c>
      <c r="AD20" s="15">
        <v>0</v>
      </c>
      <c r="AE20" s="29"/>
      <c r="AF20" s="20">
        <v>0</v>
      </c>
      <c r="AG20" s="10">
        <v>0.85</v>
      </c>
      <c r="AH20" s="29"/>
      <c r="AI20" s="20">
        <v>0</v>
      </c>
      <c r="AJ20" s="29"/>
      <c r="AK20" s="20">
        <v>0</v>
      </c>
      <c r="AL20" s="15">
        <v>975.3819662871208</v>
      </c>
      <c r="AM20" s="15">
        <v>18498.735168242212</v>
      </c>
      <c r="AN20" s="15">
        <v>0</v>
      </c>
      <c r="AO20" s="39">
        <v>1262.3367284325661</v>
      </c>
      <c r="AP20" s="15">
        <v>22722.061111786188</v>
      </c>
      <c r="AQ20" s="34">
        <v>0</v>
      </c>
      <c r="AR20" s="15">
        <v>0</v>
      </c>
      <c r="AS20" s="15">
        <v>0</v>
      </c>
      <c r="AT20" s="34">
        <v>1</v>
      </c>
      <c r="AU20" s="15">
        <v>-286.95476214544533</v>
      </c>
      <c r="AV20" s="15">
        <v>-4223.3259435439795</v>
      </c>
      <c r="AW20" s="39">
        <v>576.92307692307691</v>
      </c>
      <c r="AX20" s="39">
        <v>17921.812091319134</v>
      </c>
      <c r="AY20" s="15">
        <v>851.56694075453686</v>
      </c>
      <c r="AZ20" s="19">
        <v>0.22</v>
      </c>
      <c r="BA20" s="19">
        <v>0.1</v>
      </c>
      <c r="BB20" s="19">
        <v>0.12</v>
      </c>
    </row>
    <row r="21" spans="1:54" s="21" customFormat="1" ht="18.75" thickBot="1" x14ac:dyDescent="0.4">
      <c r="A21" s="59">
        <v>45795</v>
      </c>
      <c r="B21" s="57">
        <v>67077.936404532695</v>
      </c>
      <c r="C21" s="49">
        <v>6.6477384388918731E-2</v>
      </c>
      <c r="D21" s="29">
        <v>240670.45617600775</v>
      </c>
      <c r="E21" s="49">
        <v>0.23851572191758375</v>
      </c>
      <c r="F21" s="29">
        <v>640160.6709560072</v>
      </c>
      <c r="G21" s="49">
        <v>0.63442928144305499</v>
      </c>
      <c r="H21" s="30">
        <v>61124.86613945313</v>
      </c>
      <c r="I21" s="49">
        <v>6.0577612250442593E-2</v>
      </c>
      <c r="J21" s="14">
        <v>1009033.9296760007</v>
      </c>
      <c r="K21" s="14">
        <v>31855.531465396169</v>
      </c>
      <c r="L21" s="17">
        <v>3.2599504372722091E-2</v>
      </c>
      <c r="M21" s="16">
        <v>52</v>
      </c>
      <c r="N21" s="34">
        <v>4.0000000000000002E-4</v>
      </c>
      <c r="O21" s="25">
        <v>5.192516564502829E-2</v>
      </c>
      <c r="P21" s="15">
        <v>52394.253939880167</v>
      </c>
      <c r="Q21" s="17">
        <v>3.3012544174471213E-2</v>
      </c>
      <c r="R21" s="34">
        <v>0.2</v>
      </c>
      <c r="S21" s="15">
        <v>61582.847975648619</v>
      </c>
      <c r="T21" s="34">
        <v>-0.2</v>
      </c>
      <c r="U21" s="15">
        <v>41055.231983765741</v>
      </c>
      <c r="V21" s="34">
        <v>0.1</v>
      </c>
      <c r="W21" s="34">
        <v>-0.1</v>
      </c>
      <c r="X21" s="25">
        <v>5.192516564502829E-2</v>
      </c>
      <c r="Y21" s="18">
        <v>9.9856087778900566E-4</v>
      </c>
      <c r="Z21" s="15">
        <v>1007.581806536157</v>
      </c>
      <c r="AA21" s="15">
        <v>19506.316974778369</v>
      </c>
      <c r="AB21" s="60">
        <v>1</v>
      </c>
      <c r="AC21" s="14">
        <v>0</v>
      </c>
      <c r="AD21" s="15">
        <v>0</v>
      </c>
      <c r="AE21" s="29"/>
      <c r="AF21" s="20">
        <v>0</v>
      </c>
      <c r="AG21" s="10">
        <v>0.85</v>
      </c>
      <c r="AH21" s="29"/>
      <c r="AI21" s="20">
        <v>0</v>
      </c>
      <c r="AJ21" s="29"/>
      <c r="AK21" s="20">
        <v>0</v>
      </c>
      <c r="AL21" s="15">
        <v>1007.581806536157</v>
      </c>
      <c r="AM21" s="15">
        <v>19506.316974778369</v>
      </c>
      <c r="AN21" s="15">
        <v>0</v>
      </c>
      <c r="AO21" s="39">
        <v>1262.3367284325661</v>
      </c>
      <c r="AP21" s="15">
        <v>23984.397840218753</v>
      </c>
      <c r="AQ21" s="34">
        <v>0</v>
      </c>
      <c r="AR21" s="15">
        <v>0</v>
      </c>
      <c r="AS21" s="15">
        <v>0</v>
      </c>
      <c r="AT21" s="34">
        <v>1</v>
      </c>
      <c r="AU21" s="15">
        <v>-254.75492189640909</v>
      </c>
      <c r="AV21" s="15">
        <v>-4478.0808654403882</v>
      </c>
      <c r="AW21" s="39">
        <v>576.92307692307691</v>
      </c>
      <c r="AX21" s="39">
        <v>18929.393897855291</v>
      </c>
      <c r="AY21" s="15">
        <v>851.56694075453686</v>
      </c>
      <c r="AZ21" s="19">
        <v>0.22</v>
      </c>
      <c r="BA21" s="19">
        <v>0.1</v>
      </c>
      <c r="BB21" s="19">
        <v>0.12</v>
      </c>
    </row>
    <row r="22" spans="1:54" s="21" customFormat="1" ht="18.75" thickBot="1" x14ac:dyDescent="0.4">
      <c r="A22" s="59">
        <v>45802</v>
      </c>
      <c r="B22" s="57">
        <v>66293.677340963273</v>
      </c>
      <c r="C22" s="49">
        <v>6.6746689904511908E-2</v>
      </c>
      <c r="D22" s="29">
        <v>236901.74863143178</v>
      </c>
      <c r="E22" s="49">
        <v>0.23852059786051755</v>
      </c>
      <c r="F22" s="29">
        <v>630387.52505007107</v>
      </c>
      <c r="G22" s="49">
        <v>0.63469522798957223</v>
      </c>
      <c r="H22" s="30">
        <v>59630.007340012729</v>
      </c>
      <c r="I22" s="49">
        <v>6.0037484245398266E-2</v>
      </c>
      <c r="J22" s="14">
        <v>993212.95836247888</v>
      </c>
      <c r="K22" s="14">
        <v>-15820.971313521848</v>
      </c>
      <c r="L22" s="17">
        <v>-1.5679325390576249E-2</v>
      </c>
      <c r="M22" s="16">
        <v>52</v>
      </c>
      <c r="N22" s="34">
        <v>6.0000000000000006E-4</v>
      </c>
      <c r="O22" s="25">
        <v>5.1956320744415301E-2</v>
      </c>
      <c r="P22" s="15">
        <v>51603.691032190553</v>
      </c>
      <c r="Q22" s="17">
        <v>-1.5088732985810751E-2</v>
      </c>
      <c r="R22" s="34">
        <v>0.2</v>
      </c>
      <c r="S22" s="15">
        <v>61582.847975648619</v>
      </c>
      <c r="T22" s="34">
        <v>-0.2</v>
      </c>
      <c r="U22" s="15">
        <v>41055.231983765741</v>
      </c>
      <c r="V22" s="34">
        <v>0.1</v>
      </c>
      <c r="W22" s="34">
        <v>-0.1</v>
      </c>
      <c r="X22" s="25">
        <v>5.1956320744415301E-2</v>
      </c>
      <c r="Y22" s="18">
        <v>9.9916001431567887E-4</v>
      </c>
      <c r="Z22" s="15">
        <v>992.37867369597211</v>
      </c>
      <c r="AA22" s="15">
        <v>20498.695648474342</v>
      </c>
      <c r="AB22" s="60">
        <v>1</v>
      </c>
      <c r="AC22" s="14">
        <v>0</v>
      </c>
      <c r="AD22" s="15">
        <v>0</v>
      </c>
      <c r="AE22" s="29"/>
      <c r="AF22" s="20">
        <v>0</v>
      </c>
      <c r="AG22" s="10">
        <v>0.85</v>
      </c>
      <c r="AH22" s="29"/>
      <c r="AI22" s="20">
        <v>0</v>
      </c>
      <c r="AJ22" s="29"/>
      <c r="AK22" s="20">
        <v>0</v>
      </c>
      <c r="AL22" s="15">
        <v>992.37867369597211</v>
      </c>
      <c r="AM22" s="15">
        <v>20498.695648474342</v>
      </c>
      <c r="AN22" s="15">
        <v>0</v>
      </c>
      <c r="AO22" s="39">
        <v>1262.3367284325661</v>
      </c>
      <c r="AP22" s="15">
        <v>25246.734568651318</v>
      </c>
      <c r="AQ22" s="34">
        <v>0</v>
      </c>
      <c r="AR22" s="15">
        <v>0</v>
      </c>
      <c r="AS22" s="15">
        <v>0</v>
      </c>
      <c r="AT22" s="34">
        <v>1</v>
      </c>
      <c r="AU22" s="15">
        <v>-269.95805473659402</v>
      </c>
      <c r="AV22" s="15">
        <v>-4748.0389201769822</v>
      </c>
      <c r="AW22" s="39">
        <v>576.92307692307691</v>
      </c>
      <c r="AX22" s="39">
        <v>19921.772571551264</v>
      </c>
      <c r="AY22" s="15">
        <v>851.56694075453686</v>
      </c>
      <c r="AZ22" s="19">
        <v>0.22</v>
      </c>
      <c r="BA22" s="19">
        <v>0.1</v>
      </c>
      <c r="BB22" s="19">
        <v>0.12</v>
      </c>
    </row>
    <row r="23" spans="1:54" s="21" customFormat="1" ht="18.75" thickBot="1" x14ac:dyDescent="0.4">
      <c r="A23" s="59">
        <v>45809</v>
      </c>
      <c r="B23" s="57">
        <v>67118.29041961793</v>
      </c>
      <c r="C23" s="49">
        <v>6.6768159315467326E-2</v>
      </c>
      <c r="D23" s="29">
        <v>239623.91729202625</v>
      </c>
      <c r="E23" s="49">
        <v>0.23837388863042275</v>
      </c>
      <c r="F23" s="29">
        <v>639832.08613468008</v>
      </c>
      <c r="G23" s="49">
        <v>0.63649432062562528</v>
      </c>
      <c r="H23" s="30">
        <v>58669.689329792585</v>
      </c>
      <c r="I23" s="49">
        <v>5.8363631428484525E-2</v>
      </c>
      <c r="J23" s="14">
        <v>1005243.9831761169</v>
      </c>
      <c r="K23" s="14">
        <v>12031.024813638069</v>
      </c>
      <c r="L23" s="17">
        <v>1.211323786338204E-2</v>
      </c>
      <c r="M23" s="16">
        <v>52</v>
      </c>
      <c r="N23" s="34">
        <v>6.0000000000000006E-4</v>
      </c>
      <c r="O23" s="25">
        <v>5.1987494536861946E-2</v>
      </c>
      <c r="P23" s="15">
        <v>52260.116083581721</v>
      </c>
      <c r="Q23" s="17">
        <v>1.2720505806099961E-2</v>
      </c>
      <c r="R23" s="34">
        <v>0.2</v>
      </c>
      <c r="S23" s="15">
        <v>61582.847975648619</v>
      </c>
      <c r="T23" s="34">
        <v>-0.2</v>
      </c>
      <c r="U23" s="15">
        <v>41055.231983765741</v>
      </c>
      <c r="V23" s="34">
        <v>0.1</v>
      </c>
      <c r="W23" s="34">
        <v>-0.1</v>
      </c>
      <c r="X23" s="25">
        <v>5.1987494536861946E-2</v>
      </c>
      <c r="Y23" s="18">
        <v>9.9975951032426811E-4</v>
      </c>
      <c r="Z23" s="15">
        <v>1005.0022323765714</v>
      </c>
      <c r="AA23" s="15">
        <v>21503.697880850912</v>
      </c>
      <c r="AB23" s="60">
        <v>1</v>
      </c>
      <c r="AC23" s="14">
        <v>0</v>
      </c>
      <c r="AD23" s="15">
        <v>0</v>
      </c>
      <c r="AE23" s="29"/>
      <c r="AF23" s="20">
        <v>0</v>
      </c>
      <c r="AG23" s="10">
        <v>0.85</v>
      </c>
      <c r="AH23" s="29"/>
      <c r="AI23" s="20">
        <v>0</v>
      </c>
      <c r="AJ23" s="29"/>
      <c r="AK23" s="20">
        <v>0</v>
      </c>
      <c r="AL23" s="15">
        <v>1005.0022323765714</v>
      </c>
      <c r="AM23" s="15">
        <v>21503.697880850912</v>
      </c>
      <c r="AN23" s="15">
        <v>0</v>
      </c>
      <c r="AO23" s="39">
        <v>1262.3367284325661</v>
      </c>
      <c r="AP23" s="15">
        <v>26509.071297083883</v>
      </c>
      <c r="AQ23" s="34">
        <v>0</v>
      </c>
      <c r="AR23" s="15">
        <v>0</v>
      </c>
      <c r="AS23" s="15">
        <v>0</v>
      </c>
      <c r="AT23" s="34">
        <v>1</v>
      </c>
      <c r="AU23" s="15">
        <v>-257.33449605599469</v>
      </c>
      <c r="AV23" s="15">
        <v>-5005.3734162329765</v>
      </c>
      <c r="AW23" s="39">
        <v>576.92307692307691</v>
      </c>
      <c r="AX23" s="39">
        <v>20926.774803927834</v>
      </c>
      <c r="AY23" s="15">
        <v>851.56694075453686</v>
      </c>
      <c r="AZ23" s="19">
        <v>0.22</v>
      </c>
      <c r="BA23" s="19">
        <v>0.1</v>
      </c>
      <c r="BB23" s="19">
        <v>0.12</v>
      </c>
    </row>
    <row r="24" spans="1:54" s="21" customFormat="1" ht="18.75" thickBot="1" x14ac:dyDescent="0.4">
      <c r="A24" s="59">
        <v>45816</v>
      </c>
      <c r="B24" s="57">
        <v>68487.166235523619</v>
      </c>
      <c r="C24" s="49">
        <v>6.7176896613862169E-2</v>
      </c>
      <c r="D24" s="29">
        <v>243167.05088285002</v>
      </c>
      <c r="E24" s="49">
        <v>0.2385148741718863</v>
      </c>
      <c r="F24" s="29">
        <v>648974.98054933385</v>
      </c>
      <c r="G24" s="49">
        <v>0.63655904557973852</v>
      </c>
      <c r="H24" s="30">
        <v>58875.567924442243</v>
      </c>
      <c r="I24" s="49">
        <v>5.7749183634513056E-2</v>
      </c>
      <c r="J24" s="14">
        <v>1019504.7655921497</v>
      </c>
      <c r="K24" s="14">
        <v>14260.782416032744</v>
      </c>
      <c r="L24" s="17">
        <v>1.4186389229582964E-2</v>
      </c>
      <c r="M24" s="16">
        <v>52</v>
      </c>
      <c r="N24" s="34">
        <v>6.0000000000000006E-4</v>
      </c>
      <c r="O24" s="25">
        <v>5.201868703358406E-2</v>
      </c>
      <c r="P24" s="15">
        <v>53033.299330585513</v>
      </c>
      <c r="Q24" s="17">
        <v>1.4794901063120647E-2</v>
      </c>
      <c r="R24" s="34">
        <v>0.2</v>
      </c>
      <c r="S24" s="15">
        <v>61582.847975648619</v>
      </c>
      <c r="T24" s="34">
        <v>-0.2</v>
      </c>
      <c r="U24" s="15">
        <v>41055.231983765741</v>
      </c>
      <c r="V24" s="34">
        <v>0.1</v>
      </c>
      <c r="W24" s="34">
        <v>-0.1</v>
      </c>
      <c r="X24" s="25">
        <v>5.201868703358406E-2</v>
      </c>
      <c r="Y24" s="18">
        <v>1.0003593660304626E-3</v>
      </c>
      <c r="Z24" s="15">
        <v>1019.8711409727982</v>
      </c>
      <c r="AA24" s="15">
        <v>22523.569021823711</v>
      </c>
      <c r="AB24" s="60">
        <v>1</v>
      </c>
      <c r="AC24" s="14">
        <v>0</v>
      </c>
      <c r="AD24" s="15">
        <v>0</v>
      </c>
      <c r="AE24" s="29"/>
      <c r="AF24" s="20">
        <v>0</v>
      </c>
      <c r="AG24" s="10">
        <v>0.85</v>
      </c>
      <c r="AH24" s="29"/>
      <c r="AI24" s="20">
        <v>0</v>
      </c>
      <c r="AJ24" s="29"/>
      <c r="AK24" s="20">
        <v>0</v>
      </c>
      <c r="AL24" s="15">
        <v>1019.8711409727982</v>
      </c>
      <c r="AM24" s="15">
        <v>22523.569021823711</v>
      </c>
      <c r="AN24" s="15">
        <v>0</v>
      </c>
      <c r="AO24" s="39">
        <v>1262.3367284325661</v>
      </c>
      <c r="AP24" s="15">
        <v>27771.408025516448</v>
      </c>
      <c r="AQ24" s="34">
        <v>0</v>
      </c>
      <c r="AR24" s="15">
        <v>0</v>
      </c>
      <c r="AS24" s="15">
        <v>0</v>
      </c>
      <c r="AT24" s="34">
        <v>1</v>
      </c>
      <c r="AU24" s="15">
        <v>-242.4655874597679</v>
      </c>
      <c r="AV24" s="15">
        <v>-5247.8390036927449</v>
      </c>
      <c r="AW24" s="39">
        <v>576.92307692307691</v>
      </c>
      <c r="AX24" s="39">
        <v>21946.645944900632</v>
      </c>
      <c r="AY24" s="15">
        <v>851.56694075453686</v>
      </c>
      <c r="AZ24" s="19">
        <v>0.22</v>
      </c>
      <c r="BA24" s="19">
        <v>0.1</v>
      </c>
      <c r="BB24" s="19">
        <v>0.12</v>
      </c>
    </row>
    <row r="25" spans="1:54" s="21" customFormat="1" ht="18.75" thickBot="1" x14ac:dyDescent="0.4">
      <c r="A25" s="59">
        <v>45823</v>
      </c>
      <c r="B25" s="57">
        <v>68518.838972701516</v>
      </c>
      <c r="C25" s="49">
        <v>6.7540929910706662E-2</v>
      </c>
      <c r="D25" s="29">
        <v>242736.65061055808</v>
      </c>
      <c r="E25" s="49">
        <v>0.23927228411122325</v>
      </c>
      <c r="F25" s="29">
        <v>646157.25593316404</v>
      </c>
      <c r="G25" s="49">
        <v>0.63693522232132016</v>
      </c>
      <c r="H25" s="30">
        <v>57066.016669523677</v>
      </c>
      <c r="I25" s="49">
        <v>5.6251563656749923E-2</v>
      </c>
      <c r="J25" s="14">
        <v>1014478.7621859473</v>
      </c>
      <c r="K25" s="14">
        <v>-5026.0034062024206</v>
      </c>
      <c r="L25" s="17">
        <v>-4.929847878919146E-3</v>
      </c>
      <c r="M25" s="16">
        <v>52</v>
      </c>
      <c r="N25" s="34">
        <v>4.0000000000000002E-4</v>
      </c>
      <c r="O25" s="25">
        <v>5.2039494508397489E-2</v>
      </c>
      <c r="P25" s="15">
        <v>52792.961973661484</v>
      </c>
      <c r="Q25" s="17">
        <v>-4.5318198180708024E-3</v>
      </c>
      <c r="R25" s="34">
        <v>0.2</v>
      </c>
      <c r="S25" s="15">
        <v>61582.847975648619</v>
      </c>
      <c r="T25" s="34">
        <v>-0.2</v>
      </c>
      <c r="U25" s="15">
        <v>41055.231983765741</v>
      </c>
      <c r="V25" s="34">
        <v>0.1</v>
      </c>
      <c r="W25" s="34">
        <v>-0.1</v>
      </c>
      <c r="X25" s="25">
        <v>5.2039494508397489E-2</v>
      </c>
      <c r="Y25" s="18">
        <v>1.0007595097768747E-3</v>
      </c>
      <c r="Z25" s="15">
        <v>1015.2492687242593</v>
      </c>
      <c r="AA25" s="15">
        <v>23538.81829054797</v>
      </c>
      <c r="AB25" s="60">
        <v>1</v>
      </c>
      <c r="AC25" s="14">
        <v>0</v>
      </c>
      <c r="AD25" s="15">
        <v>0</v>
      </c>
      <c r="AE25" s="29"/>
      <c r="AF25" s="20">
        <v>0</v>
      </c>
      <c r="AG25" s="10">
        <v>0.85</v>
      </c>
      <c r="AH25" s="29"/>
      <c r="AI25" s="20">
        <v>0</v>
      </c>
      <c r="AJ25" s="29"/>
      <c r="AK25" s="20">
        <v>0</v>
      </c>
      <c r="AL25" s="15">
        <v>1015.2492687242593</v>
      </c>
      <c r="AM25" s="15">
        <v>23538.81829054797</v>
      </c>
      <c r="AN25" s="15">
        <v>0</v>
      </c>
      <c r="AO25" s="39">
        <v>1262.3367284325661</v>
      </c>
      <c r="AP25" s="15">
        <v>29033.744753949013</v>
      </c>
      <c r="AQ25" s="34">
        <v>0</v>
      </c>
      <c r="AR25" s="15">
        <v>0</v>
      </c>
      <c r="AS25" s="15">
        <v>0</v>
      </c>
      <c r="AT25" s="34">
        <v>1</v>
      </c>
      <c r="AU25" s="15">
        <v>-247.08745970830682</v>
      </c>
      <c r="AV25" s="15">
        <v>-5494.9264634010515</v>
      </c>
      <c r="AW25" s="39">
        <v>576.92307692307691</v>
      </c>
      <c r="AX25" s="39">
        <v>22961.895213624892</v>
      </c>
      <c r="AY25" s="15">
        <v>851.56694075453686</v>
      </c>
      <c r="AZ25" s="19">
        <v>0.22</v>
      </c>
      <c r="BA25" s="19">
        <v>0.1</v>
      </c>
      <c r="BB25" s="19">
        <v>0.12</v>
      </c>
    </row>
    <row r="26" spans="1:54" s="21" customFormat="1" ht="18.75" thickBot="1" x14ac:dyDescent="0.4">
      <c r="A26" s="59">
        <v>45830</v>
      </c>
      <c r="B26" s="57">
        <v>68010.991952447643</v>
      </c>
      <c r="C26" s="49">
        <v>6.7247327314021513E-2</v>
      </c>
      <c r="D26" s="29">
        <v>241679.95261972069</v>
      </c>
      <c r="E26" s="49">
        <v>0.23896623784606727</v>
      </c>
      <c r="F26" s="29">
        <v>644573.71579082287</v>
      </c>
      <c r="G26" s="49">
        <v>0.6373360893501947</v>
      </c>
      <c r="H26" s="30">
        <v>57091.398962014733</v>
      </c>
      <c r="I26" s="49">
        <v>5.6450345489716433E-2</v>
      </c>
      <c r="J26" s="14">
        <v>1011356.059325006</v>
      </c>
      <c r="K26" s="14">
        <v>-3122.7028609412955</v>
      </c>
      <c r="L26" s="17">
        <v>-3.0781352723566672E-3</v>
      </c>
      <c r="M26" s="16">
        <v>52</v>
      </c>
      <c r="N26" s="34">
        <v>4.0000000000000002E-4</v>
      </c>
      <c r="O26" s="25">
        <v>5.2060310306200848E-2</v>
      </c>
      <c r="P26" s="15">
        <v>52651.510278516282</v>
      </c>
      <c r="Q26" s="17">
        <v>-2.6793665264656479E-3</v>
      </c>
      <c r="R26" s="34">
        <v>0.2</v>
      </c>
      <c r="S26" s="15">
        <v>61582.847975648619</v>
      </c>
      <c r="T26" s="34">
        <v>-0.2</v>
      </c>
      <c r="U26" s="15">
        <v>41055.231983765741</v>
      </c>
      <c r="V26" s="34">
        <v>0.1</v>
      </c>
      <c r="W26" s="34">
        <v>-0.1</v>
      </c>
      <c r="X26" s="25">
        <v>5.2060310306200848E-2</v>
      </c>
      <c r="Y26" s="18">
        <v>1.0011598135807856E-3</v>
      </c>
      <c r="Z26" s="15">
        <v>1012.529043817621</v>
      </c>
      <c r="AA26" s="15">
        <v>24551.34733436559</v>
      </c>
      <c r="AB26" s="60">
        <v>1</v>
      </c>
      <c r="AC26" s="14">
        <v>0</v>
      </c>
      <c r="AD26" s="15">
        <v>0</v>
      </c>
      <c r="AE26" s="29"/>
      <c r="AF26" s="20">
        <v>0</v>
      </c>
      <c r="AG26" s="10">
        <v>0.85</v>
      </c>
      <c r="AH26" s="29"/>
      <c r="AI26" s="20">
        <v>0</v>
      </c>
      <c r="AJ26" s="29"/>
      <c r="AK26" s="20">
        <v>0</v>
      </c>
      <c r="AL26" s="15">
        <v>1012.529043817621</v>
      </c>
      <c r="AM26" s="15">
        <v>24551.34733436559</v>
      </c>
      <c r="AN26" s="15">
        <v>0</v>
      </c>
      <c r="AO26" s="39">
        <v>1262.3367284325661</v>
      </c>
      <c r="AP26" s="15">
        <v>30296.081482381578</v>
      </c>
      <c r="AQ26" s="34">
        <v>0</v>
      </c>
      <c r="AR26" s="15">
        <v>0</v>
      </c>
      <c r="AS26" s="15">
        <v>0</v>
      </c>
      <c r="AT26" s="34">
        <v>1</v>
      </c>
      <c r="AU26" s="15">
        <v>-249.80768461494517</v>
      </c>
      <c r="AV26" s="15">
        <v>-5744.7341480159967</v>
      </c>
      <c r="AW26" s="39">
        <v>576.92307692307691</v>
      </c>
      <c r="AX26" s="39">
        <v>23974.424257442512</v>
      </c>
      <c r="AY26" s="15">
        <v>851.56694075453686</v>
      </c>
      <c r="AZ26" s="19">
        <v>0.22</v>
      </c>
      <c r="BA26" s="19">
        <v>0.12</v>
      </c>
      <c r="BB26" s="19">
        <v>0.12</v>
      </c>
    </row>
    <row r="27" spans="1:54" s="21" customFormat="1" ht="18.75" thickBot="1" x14ac:dyDescent="0.4">
      <c r="A27" s="59">
        <v>45837</v>
      </c>
      <c r="B27" s="57">
        <v>70834.577591803449</v>
      </c>
      <c r="C27" s="49">
        <v>7.1889194425685324E-2</v>
      </c>
      <c r="D27" s="29">
        <v>336422.17766297137</v>
      </c>
      <c r="E27" s="49">
        <v>0.34143098132802807</v>
      </c>
      <c r="F27" s="29">
        <v>466392.33596359805</v>
      </c>
      <c r="G27" s="49">
        <v>0.47333619340473587</v>
      </c>
      <c r="H27" s="30">
        <v>111680.87606938044</v>
      </c>
      <c r="I27" s="49">
        <v>0.1133436308415508</v>
      </c>
      <c r="J27" s="14">
        <v>985329.96728775324</v>
      </c>
      <c r="K27" s="14">
        <v>-26026.092037252733</v>
      </c>
      <c r="L27" s="17">
        <v>-2.5654644539993162E-2</v>
      </c>
      <c r="M27" s="16">
        <v>52</v>
      </c>
      <c r="N27" s="34">
        <v>4.0000000000000002E-4</v>
      </c>
      <c r="O27" s="25">
        <v>5.2081134430323327E-2</v>
      </c>
      <c r="P27" s="15">
        <v>51317.102484539566</v>
      </c>
      <c r="Q27" s="17">
        <v>-2.5344150375135627E-2</v>
      </c>
      <c r="R27" s="34">
        <v>0.2</v>
      </c>
      <c r="S27" s="15">
        <v>61582.847975648619</v>
      </c>
      <c r="T27" s="34">
        <v>-0.2</v>
      </c>
      <c r="U27" s="15">
        <v>41055.231983765741</v>
      </c>
      <c r="V27" s="34">
        <v>0.1</v>
      </c>
      <c r="W27" s="34">
        <v>-0.1</v>
      </c>
      <c r="X27" s="25">
        <v>5.2081134430323327E-2</v>
      </c>
      <c r="Y27" s="18">
        <v>1.0015602775062177E-3</v>
      </c>
      <c r="Z27" s="15">
        <v>986.86735547191461</v>
      </c>
      <c r="AA27" s="15">
        <v>25538.214689837503</v>
      </c>
      <c r="AB27" s="60">
        <v>1</v>
      </c>
      <c r="AC27" s="14">
        <v>0</v>
      </c>
      <c r="AD27" s="15">
        <v>0</v>
      </c>
      <c r="AE27" s="29"/>
      <c r="AF27" s="20">
        <v>0</v>
      </c>
      <c r="AG27" s="10">
        <v>0.85</v>
      </c>
      <c r="AH27" s="29"/>
      <c r="AI27" s="20">
        <v>0</v>
      </c>
      <c r="AJ27" s="29">
        <v>61940.763122240947</v>
      </c>
      <c r="AK27" s="20">
        <v>61940.763122240947</v>
      </c>
      <c r="AL27" s="15">
        <v>62927.630477712861</v>
      </c>
      <c r="AM27" s="15">
        <v>87478.977812078447</v>
      </c>
      <c r="AN27" s="15">
        <v>0</v>
      </c>
      <c r="AO27" s="39">
        <v>1262.3367284325661</v>
      </c>
      <c r="AP27" s="15">
        <v>31558.418210814143</v>
      </c>
      <c r="AQ27" s="34">
        <v>0</v>
      </c>
      <c r="AR27" s="15">
        <v>0</v>
      </c>
      <c r="AS27" s="15">
        <v>0</v>
      </c>
      <c r="AT27" s="34">
        <v>1</v>
      </c>
      <c r="AU27" s="15">
        <v>61665.293749280296</v>
      </c>
      <c r="AV27" s="15">
        <v>55920.5596012643</v>
      </c>
      <c r="AW27" s="39">
        <v>576.92307692307691</v>
      </c>
      <c r="AX27" s="39">
        <v>86902.054735155369</v>
      </c>
      <c r="AY27" s="15">
        <v>851.56694075453686</v>
      </c>
      <c r="AZ27" s="19">
        <v>0.22</v>
      </c>
      <c r="BA27" s="19">
        <v>0.12</v>
      </c>
      <c r="BB27" s="19">
        <v>0.22</v>
      </c>
    </row>
    <row r="28" spans="1:54" s="21" customFormat="1" ht="18.75" thickBot="1" x14ac:dyDescent="0.4">
      <c r="A28" s="59">
        <v>45844</v>
      </c>
      <c r="B28" s="57">
        <v>71636.941994323977</v>
      </c>
      <c r="C28" s="49">
        <v>7.176761795637894E-2</v>
      </c>
      <c r="D28" s="29">
        <v>341267.09286170319</v>
      </c>
      <c r="E28" s="49">
        <v>0.3418896125343176</v>
      </c>
      <c r="F28" s="29">
        <v>473340.51511778397</v>
      </c>
      <c r="G28" s="49">
        <v>0.47420395548068373</v>
      </c>
      <c r="H28" s="30">
        <v>111934.62935837192</v>
      </c>
      <c r="I28" s="49">
        <v>0.11213881402861971</v>
      </c>
      <c r="J28" s="14">
        <v>998179.17933218309</v>
      </c>
      <c r="K28" s="14">
        <v>12849.212044429849</v>
      </c>
      <c r="L28" s="17">
        <v>1.2704934059529542E-2</v>
      </c>
      <c r="M28" s="16">
        <v>52</v>
      </c>
      <c r="N28" s="34">
        <v>4.0000000000000002E-4</v>
      </c>
      <c r="O28" s="25">
        <v>5.2101966884095456E-2</v>
      </c>
      <c r="P28" s="15">
        <v>52007.098545958987</v>
      </c>
      <c r="Q28" s="17">
        <v>1.3445733059992962E-2</v>
      </c>
      <c r="R28" s="34">
        <v>0.2</v>
      </c>
      <c r="S28" s="15">
        <v>61582.847975648619</v>
      </c>
      <c r="T28" s="34">
        <v>-0.2</v>
      </c>
      <c r="U28" s="15">
        <v>41055.231983765741</v>
      </c>
      <c r="V28" s="34">
        <v>0.1</v>
      </c>
      <c r="W28" s="34">
        <v>-0.1</v>
      </c>
      <c r="X28" s="25">
        <v>5.2101966884095456E-2</v>
      </c>
      <c r="Y28" s="18">
        <v>1.0019609016172202E-3</v>
      </c>
      <c r="Z28" s="15">
        <v>1000.1365104992111</v>
      </c>
      <c r="AA28" s="15">
        <v>26538.351200336714</v>
      </c>
      <c r="AB28" s="60">
        <v>1</v>
      </c>
      <c r="AC28" s="14">
        <v>0</v>
      </c>
      <c r="AD28" s="15">
        <v>0</v>
      </c>
      <c r="AE28" s="29"/>
      <c r="AF28" s="20">
        <v>0</v>
      </c>
      <c r="AG28" s="10">
        <v>0.85</v>
      </c>
      <c r="AH28" s="29"/>
      <c r="AI28" s="20">
        <v>0</v>
      </c>
      <c r="AJ28" s="29"/>
      <c r="AK28" s="20">
        <v>0</v>
      </c>
      <c r="AL28" s="15">
        <v>1000.1365104992111</v>
      </c>
      <c r="AM28" s="15">
        <v>88479.114322577661</v>
      </c>
      <c r="AN28" s="15">
        <v>0</v>
      </c>
      <c r="AO28" s="39">
        <v>1262.3367284325661</v>
      </c>
      <c r="AP28" s="15">
        <v>32820.754939246712</v>
      </c>
      <c r="AQ28" s="34">
        <v>0</v>
      </c>
      <c r="AR28" s="15">
        <v>0</v>
      </c>
      <c r="AS28" s="15">
        <v>0</v>
      </c>
      <c r="AT28" s="34">
        <v>1</v>
      </c>
      <c r="AU28" s="15">
        <v>-262.20021793335502</v>
      </c>
      <c r="AV28" s="15">
        <v>55658.359383330942</v>
      </c>
      <c r="AW28" s="39">
        <v>576.92307692307691</v>
      </c>
      <c r="AX28" s="39">
        <v>87902.191245654583</v>
      </c>
      <c r="AY28" s="15">
        <v>851.56694075453686</v>
      </c>
      <c r="AZ28" s="19">
        <v>0.22</v>
      </c>
      <c r="BA28" s="19">
        <v>0.12</v>
      </c>
      <c r="BB28" s="19">
        <v>0.22</v>
      </c>
    </row>
    <row r="29" spans="1:54" ht="18.75" thickBot="1" x14ac:dyDescent="0.4">
      <c r="A29" s="59">
        <v>45851</v>
      </c>
      <c r="B29" s="57">
        <v>71514.00364791631</v>
      </c>
      <c r="C29" s="49">
        <v>7.1907388673946429E-2</v>
      </c>
      <c r="D29" s="29">
        <v>339664.87868707202</v>
      </c>
      <c r="E29" s="49">
        <v>0.34153331102658518</v>
      </c>
      <c r="F29" s="29">
        <v>471420.12282306032</v>
      </c>
      <c r="G29" s="49">
        <v>0.47401331587376533</v>
      </c>
      <c r="H29" s="30">
        <v>111930.27711343176</v>
      </c>
      <c r="I29" s="49">
        <v>0.11254598442570315</v>
      </c>
      <c r="J29" s="14">
        <v>994529.2822714803</v>
      </c>
      <c r="K29" s="14">
        <v>-3649.8970607027877</v>
      </c>
      <c r="L29" s="17">
        <v>-3.6565549916045101E-3</v>
      </c>
      <c r="M29" s="16">
        <v>52</v>
      </c>
      <c r="N29" s="34">
        <v>4.0000000000000002E-4</v>
      </c>
      <c r="O29" s="25">
        <v>5.2122807670849092E-2</v>
      </c>
      <c r="P29" s="15">
        <v>51837.658502863953</v>
      </c>
      <c r="Q29" s="17">
        <v>-3.2580176136013132E-3</v>
      </c>
      <c r="R29" s="34">
        <v>0.2</v>
      </c>
      <c r="S29" s="15">
        <v>61582.847975648619</v>
      </c>
      <c r="T29" s="34">
        <v>-0.2</v>
      </c>
      <c r="U29" s="15">
        <v>41055.231983765741</v>
      </c>
      <c r="V29" s="34">
        <v>0.1</v>
      </c>
      <c r="W29" s="34">
        <v>-0.1</v>
      </c>
      <c r="X29" s="25">
        <v>5.2122807670849092E-2</v>
      </c>
      <c r="Y29" s="18">
        <v>1.0023616859778672E-3</v>
      </c>
      <c r="Z29" s="15">
        <v>996.87804813199921</v>
      </c>
      <c r="AA29" s="15">
        <v>27535.229248468713</v>
      </c>
      <c r="AB29" s="60">
        <v>1</v>
      </c>
      <c r="AC29" s="14">
        <v>0</v>
      </c>
      <c r="AD29" s="15">
        <v>0</v>
      </c>
      <c r="AE29" s="29"/>
      <c r="AF29" s="20">
        <v>0</v>
      </c>
      <c r="AG29" s="10">
        <v>0.85</v>
      </c>
      <c r="AH29" s="29"/>
      <c r="AI29" s="20">
        <v>0</v>
      </c>
      <c r="AJ29" s="29"/>
      <c r="AK29" s="20">
        <v>0</v>
      </c>
      <c r="AL29" s="15">
        <v>996.87804813199921</v>
      </c>
      <c r="AM29" s="15">
        <v>89475.99237070966</v>
      </c>
      <c r="AN29" s="15">
        <v>0</v>
      </c>
      <c r="AO29" s="39">
        <v>1262.3367284325661</v>
      </c>
      <c r="AP29" s="15">
        <v>34083.091667679277</v>
      </c>
      <c r="AQ29" s="34">
        <v>0</v>
      </c>
      <c r="AR29" s="15">
        <v>0</v>
      </c>
      <c r="AS29" s="15">
        <v>0</v>
      </c>
      <c r="AT29" s="34">
        <v>1</v>
      </c>
      <c r="AU29" s="15">
        <v>-265.45868030056693</v>
      </c>
      <c r="AV29" s="15">
        <v>55392.900703030376</v>
      </c>
      <c r="AW29" s="39">
        <v>576.92307692307691</v>
      </c>
      <c r="AX29" s="39">
        <v>88899.069293786582</v>
      </c>
      <c r="AY29" s="15">
        <v>851.56694075453686</v>
      </c>
      <c r="AZ29" s="19">
        <v>0.22</v>
      </c>
      <c r="BA29" s="19">
        <v>0.12</v>
      </c>
      <c r="BB29" s="19">
        <v>0.22</v>
      </c>
    </row>
    <row r="30" spans="1:54" ht="18.75" thickBot="1" x14ac:dyDescent="0.4">
      <c r="A30" s="59">
        <v>45858</v>
      </c>
      <c r="B30" s="57">
        <v>72079.354462650765</v>
      </c>
      <c r="C30" s="49">
        <v>7.2159384411056918E-2</v>
      </c>
      <c r="D30" s="29">
        <v>341066.95923037454</v>
      </c>
      <c r="E30" s="49">
        <v>0.34144564701627017</v>
      </c>
      <c r="F30" s="29">
        <v>473814.33725426119</v>
      </c>
      <c r="G30" s="49">
        <v>0.47434041489809192</v>
      </c>
      <c r="H30" s="30">
        <v>111930.27711343176</v>
      </c>
      <c r="I30" s="49">
        <v>0.11205455367458098</v>
      </c>
      <c r="J30" s="14">
        <v>998890.92806071823</v>
      </c>
      <c r="K30" s="14">
        <v>4361.6457892379258</v>
      </c>
      <c r="L30" s="17">
        <v>4.3856383788680757E-3</v>
      </c>
      <c r="M30" s="16">
        <v>52</v>
      </c>
      <c r="N30" s="34">
        <v>6.0000000000000006E-4</v>
      </c>
      <c r="O30" s="25">
        <v>5.2154081355451597E-2</v>
      </c>
      <c r="P30" s="15">
        <v>52096.23872730125</v>
      </c>
      <c r="Q30" s="17">
        <v>4.9882697618954175E-3</v>
      </c>
      <c r="R30" s="34">
        <v>0.2</v>
      </c>
      <c r="S30" s="15">
        <v>61582.847975648619</v>
      </c>
      <c r="T30" s="34">
        <v>-0.2</v>
      </c>
      <c r="U30" s="15">
        <v>41055.231983765741</v>
      </c>
      <c r="V30" s="34">
        <v>0.1</v>
      </c>
      <c r="W30" s="34">
        <v>-0.1</v>
      </c>
      <c r="X30" s="25">
        <v>5.2154081355451597E-2</v>
      </c>
      <c r="Y30" s="18">
        <v>1.0029631029894537E-3</v>
      </c>
      <c r="Z30" s="15">
        <v>1001.8507447557931</v>
      </c>
      <c r="AA30" s="15">
        <v>28537.079993224506</v>
      </c>
      <c r="AB30" s="60">
        <v>1</v>
      </c>
      <c r="AC30" s="14">
        <v>0</v>
      </c>
      <c r="AD30" s="15">
        <v>0</v>
      </c>
      <c r="AE30" s="29"/>
      <c r="AF30" s="20">
        <v>0</v>
      </c>
      <c r="AG30" s="10">
        <v>0.85</v>
      </c>
      <c r="AH30" s="29">
        <v>87044.898803341552</v>
      </c>
      <c r="AI30" s="20">
        <v>87044.898803341552</v>
      </c>
      <c r="AJ30" s="29"/>
      <c r="AK30" s="20">
        <v>0</v>
      </c>
      <c r="AL30" s="15">
        <v>88046.749548097345</v>
      </c>
      <c r="AM30" s="15">
        <v>177522.74191880701</v>
      </c>
      <c r="AN30" s="15">
        <v>0</v>
      </c>
      <c r="AO30" s="39">
        <v>1262.3367284325661</v>
      </c>
      <c r="AP30" s="15">
        <v>35345.428396111842</v>
      </c>
      <c r="AQ30" s="34">
        <v>1</v>
      </c>
      <c r="AR30" s="15">
        <v>86784.41281966478</v>
      </c>
      <c r="AS30" s="15">
        <v>86784.41281966478</v>
      </c>
      <c r="AT30" s="34">
        <v>1</v>
      </c>
      <c r="AU30" s="15">
        <v>86784.41281966478</v>
      </c>
      <c r="AV30" s="15">
        <v>142177.31352269516</v>
      </c>
      <c r="AW30" s="39">
        <v>576.92307692307691</v>
      </c>
      <c r="AX30" s="39">
        <v>176945.81884188394</v>
      </c>
      <c r="AY30" s="15">
        <v>851.56694075453686</v>
      </c>
      <c r="AZ30" s="19">
        <v>0.22</v>
      </c>
      <c r="BA30" s="19">
        <v>0.22</v>
      </c>
      <c r="BB30" s="19">
        <v>0.24</v>
      </c>
    </row>
    <row r="31" spans="1:54" ht="18.75" thickBot="1" x14ac:dyDescent="0.4">
      <c r="A31" s="59">
        <v>45865</v>
      </c>
      <c r="B31" s="57">
        <v>73190.681831977112</v>
      </c>
      <c r="C31" s="49">
        <v>7.2606061102876165E-2</v>
      </c>
      <c r="D31" s="29">
        <v>345858.98981725564</v>
      </c>
      <c r="E31" s="49">
        <v>0.34309639313510881</v>
      </c>
      <c r="F31" s="29">
        <v>480348.12466021063</v>
      </c>
      <c r="G31" s="49">
        <v>0.47651127734806498</v>
      </c>
      <c r="H31" s="30">
        <v>108654.15858551499</v>
      </c>
      <c r="I31" s="49">
        <v>0.10778626841394999</v>
      </c>
      <c r="J31" s="14">
        <v>1008051.9548949584</v>
      </c>
      <c r="K31" s="14">
        <v>9161.0268342401832</v>
      </c>
      <c r="L31" s="17">
        <v>9.1711983529830631E-3</v>
      </c>
      <c r="M31" s="16">
        <v>52</v>
      </c>
      <c r="N31" s="34">
        <v>6.0000000000000006E-4</v>
      </c>
      <c r="O31" s="25">
        <v>5.2185373804264863E-2</v>
      </c>
      <c r="P31" s="15">
        <v>52605.568080313351</v>
      </c>
      <c r="Q31" s="17">
        <v>9.7767010719947579E-3</v>
      </c>
      <c r="R31" s="34">
        <v>0.2</v>
      </c>
      <c r="S31" s="15">
        <v>61582.847975648619</v>
      </c>
      <c r="T31" s="34">
        <v>-0.2</v>
      </c>
      <c r="U31" s="15">
        <v>41055.231983765741</v>
      </c>
      <c r="V31" s="34">
        <v>0.1</v>
      </c>
      <c r="W31" s="34">
        <v>-0.1</v>
      </c>
      <c r="X31" s="25">
        <v>5.2185373804264863E-2</v>
      </c>
      <c r="Y31" s="18">
        <v>1.0035648808512474E-3</v>
      </c>
      <c r="Z31" s="15">
        <v>1011.645540006026</v>
      </c>
      <c r="AA31" s="15">
        <v>29548.725533230532</v>
      </c>
      <c r="AB31" s="60">
        <v>1</v>
      </c>
      <c r="AC31" s="14">
        <v>0</v>
      </c>
      <c r="AD31" s="15">
        <v>0</v>
      </c>
      <c r="AE31" s="29"/>
      <c r="AF31" s="20">
        <v>0</v>
      </c>
      <c r="AG31" s="10">
        <v>0.85</v>
      </c>
      <c r="AH31" s="29"/>
      <c r="AI31" s="20">
        <v>87044.898803341552</v>
      </c>
      <c r="AJ31" s="29"/>
      <c r="AK31" s="20">
        <v>0</v>
      </c>
      <c r="AL31" s="15">
        <v>1011.645540006026</v>
      </c>
      <c r="AM31" s="15">
        <v>178534.38745881303</v>
      </c>
      <c r="AN31" s="15">
        <v>0</v>
      </c>
      <c r="AO31" s="39">
        <v>1262.3367284325661</v>
      </c>
      <c r="AP31" s="15">
        <v>36607.765124544407</v>
      </c>
      <c r="AQ31" s="34">
        <v>0</v>
      </c>
      <c r="AR31" s="15">
        <v>0</v>
      </c>
      <c r="AS31" s="15">
        <v>86784.41281966478</v>
      </c>
      <c r="AT31" s="34">
        <v>1</v>
      </c>
      <c r="AU31" s="15">
        <v>-250.69118842654018</v>
      </c>
      <c r="AV31" s="15">
        <v>141926.62233426861</v>
      </c>
      <c r="AW31" s="39">
        <v>576.92307692307691</v>
      </c>
      <c r="AX31" s="39">
        <v>177957.46438188996</v>
      </c>
      <c r="AY31" s="15">
        <v>851.56694075453686</v>
      </c>
      <c r="AZ31" s="19">
        <v>0.22</v>
      </c>
      <c r="BA31" s="19">
        <v>0.22</v>
      </c>
      <c r="BB31" s="19">
        <v>0.24</v>
      </c>
    </row>
    <row r="32" spans="1:54" ht="18.75" thickBot="1" x14ac:dyDescent="0.4">
      <c r="A32" s="59">
        <v>45872</v>
      </c>
      <c r="B32" s="57">
        <v>71721.770149704462</v>
      </c>
      <c r="C32" s="49">
        <v>7.2766513604800354E-2</v>
      </c>
      <c r="D32" s="29">
        <v>337137.13351244468</v>
      </c>
      <c r="E32" s="49">
        <v>0.34204808053692171</v>
      </c>
      <c r="F32" s="29">
        <v>468502.03350423923</v>
      </c>
      <c r="G32" s="49">
        <v>0.47532652252871549</v>
      </c>
      <c r="H32" s="30">
        <v>108281.58707532584</v>
      </c>
      <c r="I32" s="49">
        <v>0.10985888332956237</v>
      </c>
      <c r="J32" s="14">
        <v>985642.52424171427</v>
      </c>
      <c r="K32" s="14">
        <v>-22409.430653244141</v>
      </c>
      <c r="L32" s="17">
        <v>-2.2230432215747511E-2</v>
      </c>
      <c r="M32" s="16">
        <v>52</v>
      </c>
      <c r="N32" s="34">
        <v>6.0000000000000006E-4</v>
      </c>
      <c r="O32" s="25">
        <v>5.221668502854742E-2</v>
      </c>
      <c r="P32" s="15">
        <v>51466.985239072012</v>
      </c>
      <c r="Q32" s="17">
        <v>-2.1643770475077002E-2</v>
      </c>
      <c r="R32" s="34">
        <v>0.2</v>
      </c>
      <c r="S32" s="15">
        <v>61582.847975648619</v>
      </c>
      <c r="T32" s="34">
        <v>-0.2</v>
      </c>
      <c r="U32" s="15">
        <v>41055.231983765741</v>
      </c>
      <c r="V32" s="34">
        <v>0.1</v>
      </c>
      <c r="W32" s="34">
        <v>-0.1</v>
      </c>
      <c r="X32" s="25">
        <v>5.221668502854742E-2</v>
      </c>
      <c r="Y32" s="18">
        <v>1.0041670197797582E-3</v>
      </c>
      <c r="Z32" s="15">
        <v>989.7497161360003</v>
      </c>
      <c r="AA32" s="15">
        <v>30538.475249366533</v>
      </c>
      <c r="AB32" s="60">
        <v>1</v>
      </c>
      <c r="AC32" s="14">
        <v>0</v>
      </c>
      <c r="AD32" s="15">
        <v>0</v>
      </c>
      <c r="AE32" s="29"/>
      <c r="AF32" s="20">
        <v>0</v>
      </c>
      <c r="AG32" s="10">
        <v>0.85</v>
      </c>
      <c r="AH32" s="29"/>
      <c r="AI32" s="20">
        <v>87044.898803341552</v>
      </c>
      <c r="AJ32" s="29"/>
      <c r="AK32" s="20">
        <v>0</v>
      </c>
      <c r="AL32" s="15">
        <v>989.7497161360003</v>
      </c>
      <c r="AM32" s="15">
        <v>179524.13717494902</v>
      </c>
      <c r="AN32" s="15">
        <v>0</v>
      </c>
      <c r="AO32" s="39">
        <v>1262.3367284325661</v>
      </c>
      <c r="AP32" s="15">
        <v>37870.101852976972</v>
      </c>
      <c r="AQ32" s="34">
        <v>0</v>
      </c>
      <c r="AR32" s="15">
        <v>0</v>
      </c>
      <c r="AS32" s="15">
        <v>86784.41281966478</v>
      </c>
      <c r="AT32" s="34">
        <v>1</v>
      </c>
      <c r="AU32" s="15">
        <v>-272.58701229656583</v>
      </c>
      <c r="AV32" s="15">
        <v>141654.03532197204</v>
      </c>
      <c r="AW32" s="39">
        <v>576.92307692307691</v>
      </c>
      <c r="AX32" s="39">
        <v>178947.21409802596</v>
      </c>
      <c r="AY32" s="15">
        <v>851.56694075453686</v>
      </c>
      <c r="AZ32" s="19">
        <v>0.22</v>
      </c>
      <c r="BA32" s="19">
        <v>0.22</v>
      </c>
      <c r="BB32" s="19">
        <v>0.24</v>
      </c>
    </row>
    <row r="33" spans="1:54" s="21" customFormat="1" ht="18.75" thickBot="1" x14ac:dyDescent="0.4">
      <c r="A33" s="59">
        <v>45879</v>
      </c>
      <c r="B33" s="57">
        <v>73603.676993170535</v>
      </c>
      <c r="C33" s="49">
        <v>7.3323329823690539E-2</v>
      </c>
      <c r="D33" s="29">
        <v>344043.15198631235</v>
      </c>
      <c r="E33" s="49">
        <v>0.34273273479278971</v>
      </c>
      <c r="F33" s="29">
        <v>478934.98748042894</v>
      </c>
      <c r="G33" s="49">
        <v>0.47711078421246544</v>
      </c>
      <c r="H33" s="30">
        <v>107241.62104836955</v>
      </c>
      <c r="I33" s="49">
        <v>0.10683315117105424</v>
      </c>
      <c r="J33" s="14">
        <v>1003823.4375082814</v>
      </c>
      <c r="K33" s="14">
        <v>18180.913266567164</v>
      </c>
      <c r="L33" s="17">
        <v>1.84457476411687E-2</v>
      </c>
      <c r="M33" s="16">
        <v>52</v>
      </c>
      <c r="N33" s="34">
        <v>6.0000000000000006E-4</v>
      </c>
      <c r="O33" s="25">
        <v>5.2248015039564548E-2</v>
      </c>
      <c r="P33" s="15">
        <v>52447.78206000007</v>
      </c>
      <c r="Q33" s="17">
        <v>1.9056815089753321E-2</v>
      </c>
      <c r="R33" s="34">
        <v>0.2</v>
      </c>
      <c r="S33" s="15">
        <v>61582.847975648619</v>
      </c>
      <c r="T33" s="34">
        <v>-0.2</v>
      </c>
      <c r="U33" s="15">
        <v>41055.231983765741</v>
      </c>
      <c r="V33" s="34">
        <v>0.1</v>
      </c>
      <c r="W33" s="34">
        <v>-0.1</v>
      </c>
      <c r="X33" s="25">
        <v>5.2248015039564548E-2</v>
      </c>
      <c r="Y33" s="18">
        <v>1.0047695199916259E-3</v>
      </c>
      <c r="Z33" s="15">
        <v>1008.6111934615399</v>
      </c>
      <c r="AA33" s="15">
        <v>31547.086442828073</v>
      </c>
      <c r="AB33" s="60">
        <v>1</v>
      </c>
      <c r="AC33" s="14">
        <v>0</v>
      </c>
      <c r="AD33" s="15">
        <v>0</v>
      </c>
      <c r="AE33" s="29"/>
      <c r="AF33" s="20">
        <v>0</v>
      </c>
      <c r="AG33" s="10">
        <v>0.85</v>
      </c>
      <c r="AH33" s="29"/>
      <c r="AI33" s="20">
        <v>87044.898803341552</v>
      </c>
      <c r="AJ33" s="29"/>
      <c r="AK33" s="20">
        <v>0</v>
      </c>
      <c r="AL33" s="15">
        <v>1008.6111934615399</v>
      </c>
      <c r="AM33" s="15">
        <v>180532.74836841057</v>
      </c>
      <c r="AN33" s="15">
        <v>0</v>
      </c>
      <c r="AO33" s="39">
        <v>1262.3367284325661</v>
      </c>
      <c r="AP33" s="15">
        <v>39132.438581409537</v>
      </c>
      <c r="AQ33" s="34">
        <v>0</v>
      </c>
      <c r="AR33" s="15">
        <v>0</v>
      </c>
      <c r="AS33" s="15">
        <v>86784.41281966478</v>
      </c>
      <c r="AT33" s="34">
        <v>1</v>
      </c>
      <c r="AU33" s="15">
        <v>-253.72553497102626</v>
      </c>
      <c r="AV33" s="15">
        <v>141400.30978700102</v>
      </c>
      <c r="AW33" s="39">
        <v>576.92307692307691</v>
      </c>
      <c r="AX33" s="39">
        <v>179955.8252914875</v>
      </c>
      <c r="AY33" s="15">
        <v>851.56694075453686</v>
      </c>
      <c r="AZ33" s="19">
        <v>0.22</v>
      </c>
      <c r="BA33" s="19">
        <v>0.22</v>
      </c>
      <c r="BB33" s="19">
        <v>0.24</v>
      </c>
    </row>
    <row r="34" spans="1:54" s="21" customFormat="1" ht="18.75" thickBot="1" x14ac:dyDescent="0.4">
      <c r="A34" s="59">
        <v>45886</v>
      </c>
      <c r="B34" s="57">
        <v>74388.524093389671</v>
      </c>
      <c r="C34" s="49">
        <v>7.3315555613849975E-2</v>
      </c>
      <c r="D34" s="29">
        <v>347725.64252578915</v>
      </c>
      <c r="E34" s="49">
        <v>0.3427101020441759</v>
      </c>
      <c r="F34" s="29">
        <v>485279.14854150079</v>
      </c>
      <c r="G34" s="49">
        <v>0.47827955772411607</v>
      </c>
      <c r="H34" s="30">
        <v>107241.62104836955</v>
      </c>
      <c r="I34" s="49">
        <v>0.105694784617858</v>
      </c>
      <c r="J34" s="14">
        <v>1014634.9362090492</v>
      </c>
      <c r="K34" s="14">
        <v>10811.498700767756</v>
      </c>
      <c r="L34" s="17">
        <v>1.0770319058901792E-2</v>
      </c>
      <c r="M34" s="16">
        <v>52</v>
      </c>
      <c r="N34" s="34">
        <v>5.0000000000000001E-4</v>
      </c>
      <c r="O34" s="25">
        <v>5.2274139047084327E-2</v>
      </c>
      <c r="P34" s="15">
        <v>53039.167737421376</v>
      </c>
      <c r="Q34" s="17">
        <v>1.1275704218431246E-2</v>
      </c>
      <c r="R34" s="34">
        <v>0.2</v>
      </c>
      <c r="S34" s="15">
        <v>61582.847975648619</v>
      </c>
      <c r="T34" s="34">
        <v>-0.2</v>
      </c>
      <c r="U34" s="15">
        <v>41055.231983765741</v>
      </c>
      <c r="V34" s="34">
        <v>0.1</v>
      </c>
      <c r="W34" s="34">
        <v>-0.1</v>
      </c>
      <c r="X34" s="25">
        <v>5.2274139047084327E-2</v>
      </c>
      <c r="Y34" s="18">
        <v>1.0052719047516216E-3</v>
      </c>
      <c r="Z34" s="15">
        <v>1019.9839949504109</v>
      </c>
      <c r="AA34" s="15">
        <v>32567.070437778482</v>
      </c>
      <c r="AB34" s="60">
        <v>1</v>
      </c>
      <c r="AC34" s="14">
        <v>0</v>
      </c>
      <c r="AD34" s="15">
        <v>0</v>
      </c>
      <c r="AE34" s="29"/>
      <c r="AF34" s="20">
        <v>0</v>
      </c>
      <c r="AG34" s="10">
        <v>0.85</v>
      </c>
      <c r="AH34" s="29"/>
      <c r="AI34" s="20">
        <v>87044.898803341552</v>
      </c>
      <c r="AJ34" s="29"/>
      <c r="AK34" s="20">
        <v>0</v>
      </c>
      <c r="AL34" s="15">
        <v>1019.9839949504109</v>
      </c>
      <c r="AM34" s="15">
        <v>181552.73236336099</v>
      </c>
      <c r="AN34" s="15">
        <v>0</v>
      </c>
      <c r="AO34" s="39">
        <v>1262.3367284325661</v>
      </c>
      <c r="AP34" s="15">
        <v>40394.775309842102</v>
      </c>
      <c r="AQ34" s="34">
        <v>0</v>
      </c>
      <c r="AR34" s="15">
        <v>0</v>
      </c>
      <c r="AS34" s="15">
        <v>86784.41281966478</v>
      </c>
      <c r="AT34" s="34">
        <v>1</v>
      </c>
      <c r="AU34" s="15">
        <v>-242.35273348215526</v>
      </c>
      <c r="AV34" s="15">
        <v>141157.95705351888</v>
      </c>
      <c r="AW34" s="39">
        <v>576.92307692307691</v>
      </c>
      <c r="AX34" s="39">
        <v>180975.80928643793</v>
      </c>
      <c r="AY34" s="15">
        <v>851.56694075453686</v>
      </c>
      <c r="AZ34" s="19">
        <v>0.22</v>
      </c>
      <c r="BA34" s="19">
        <v>0.22</v>
      </c>
      <c r="BB34" s="19">
        <v>0.24</v>
      </c>
    </row>
    <row r="35" spans="1:54" s="21" customFormat="1" ht="18.75" thickBot="1" x14ac:dyDescent="0.4">
      <c r="A35" s="59">
        <v>45893</v>
      </c>
      <c r="B35" s="57">
        <v>74560.695034560515</v>
      </c>
      <c r="C35" s="49">
        <v>7.3212412952672709E-2</v>
      </c>
      <c r="D35" s="29">
        <v>351646.41557424353</v>
      </c>
      <c r="E35" s="49">
        <v>0.34528758856680936</v>
      </c>
      <c r="F35" s="29">
        <v>489459.18385387538</v>
      </c>
      <c r="G35" s="49">
        <v>0.4806082866472477</v>
      </c>
      <c r="H35" s="30">
        <v>102749.73674721106</v>
      </c>
      <c r="I35" s="49">
        <v>0.10089171183327028</v>
      </c>
      <c r="J35" s="14">
        <v>1018416.0312098905</v>
      </c>
      <c r="K35" s="14">
        <v>3781.0950008413056</v>
      </c>
      <c r="L35" s="17">
        <v>3.7265570757582032E-3</v>
      </c>
      <c r="M35" s="16">
        <v>52</v>
      </c>
      <c r="N35" s="34">
        <v>5.0000000000000001E-4</v>
      </c>
      <c r="O35" s="25">
        <v>5.2300276116607869E-2</v>
      </c>
      <c r="P35" s="15">
        <v>53263.439633857211</v>
      </c>
      <c r="Q35" s="17">
        <v>4.2284203542960613E-3</v>
      </c>
      <c r="R35" s="34">
        <v>0.2</v>
      </c>
      <c r="S35" s="15">
        <v>61582.847975648619</v>
      </c>
      <c r="T35" s="34">
        <v>-0.2</v>
      </c>
      <c r="U35" s="15">
        <v>41055.231983765741</v>
      </c>
      <c r="V35" s="34">
        <v>0.1</v>
      </c>
      <c r="W35" s="34">
        <v>-0.1</v>
      </c>
      <c r="X35" s="25">
        <v>5.2300276116607869E-2</v>
      </c>
      <c r="Y35" s="18">
        <v>1.0057745407039975E-3</v>
      </c>
      <c r="Z35" s="15">
        <v>1024.2969160357156</v>
      </c>
      <c r="AA35" s="15">
        <v>33591.367353814196</v>
      </c>
      <c r="AB35" s="60">
        <v>1</v>
      </c>
      <c r="AC35" s="14">
        <v>0</v>
      </c>
      <c r="AD35" s="15">
        <v>0</v>
      </c>
      <c r="AE35" s="29"/>
      <c r="AF35" s="20">
        <v>0</v>
      </c>
      <c r="AG35" s="10">
        <v>0.85</v>
      </c>
      <c r="AH35" s="29"/>
      <c r="AI35" s="20">
        <v>87044.898803341552</v>
      </c>
      <c r="AJ35" s="29"/>
      <c r="AK35" s="20">
        <v>0</v>
      </c>
      <c r="AL35" s="15">
        <v>1024.2969160357156</v>
      </c>
      <c r="AM35" s="15">
        <v>182577.02927939669</v>
      </c>
      <c r="AN35" s="15">
        <v>0</v>
      </c>
      <c r="AO35" s="39">
        <v>1262.3367284325661</v>
      </c>
      <c r="AP35" s="15">
        <v>41657.112038274667</v>
      </c>
      <c r="AQ35" s="34">
        <v>0</v>
      </c>
      <c r="AR35" s="15">
        <v>0</v>
      </c>
      <c r="AS35" s="15">
        <v>86784.41281966478</v>
      </c>
      <c r="AT35" s="34">
        <v>1</v>
      </c>
      <c r="AU35" s="15">
        <v>-238.03981239685049</v>
      </c>
      <c r="AV35" s="15">
        <v>140919.91724112202</v>
      </c>
      <c r="AW35" s="39">
        <v>576.92307692307691</v>
      </c>
      <c r="AX35" s="39">
        <v>182000.10620247363</v>
      </c>
      <c r="AY35" s="15">
        <v>851.56694075453686</v>
      </c>
      <c r="AZ35" s="19">
        <v>0.22</v>
      </c>
      <c r="BA35" s="19">
        <v>0.22</v>
      </c>
      <c r="BB35" s="19">
        <v>0.24</v>
      </c>
    </row>
    <row r="36" spans="1:54" s="21" customFormat="1" ht="18.75" thickBot="1" x14ac:dyDescent="0.4">
      <c r="A36" s="59">
        <v>45900</v>
      </c>
      <c r="B36" s="57">
        <v>74136.620024914955</v>
      </c>
      <c r="C36" s="49">
        <v>7.314654153522375E-2</v>
      </c>
      <c r="D36" s="29">
        <v>350087.51107259473</v>
      </c>
      <c r="E36" s="49">
        <v>0.34541216825138138</v>
      </c>
      <c r="F36" s="29">
        <v>488295.58698998316</v>
      </c>
      <c r="G36" s="49">
        <v>0.48177450527453064</v>
      </c>
      <c r="H36" s="30">
        <v>101015.82944368367</v>
      </c>
      <c r="I36" s="49">
        <v>9.966678493886412E-2</v>
      </c>
      <c r="J36" s="14">
        <v>1013535.5475311766</v>
      </c>
      <c r="K36" s="14">
        <v>-4880.4836787139066</v>
      </c>
      <c r="L36" s="17">
        <v>-4.7922298246973125E-3</v>
      </c>
      <c r="M36" s="16">
        <v>52</v>
      </c>
      <c r="N36" s="34">
        <v>5.0000000000000001E-4</v>
      </c>
      <c r="O36" s="25">
        <v>5.2326426254666172E-2</v>
      </c>
      <c r="P36" s="15">
        <v>53034.693084372811</v>
      </c>
      <c r="Q36" s="17">
        <v>-4.2946259396097275E-3</v>
      </c>
      <c r="R36" s="34">
        <v>0.2</v>
      </c>
      <c r="S36" s="15">
        <v>61582.847975648619</v>
      </c>
      <c r="T36" s="34">
        <v>-0.2</v>
      </c>
      <c r="U36" s="15">
        <v>41055.231983765741</v>
      </c>
      <c r="V36" s="34">
        <v>0.1</v>
      </c>
      <c r="W36" s="34">
        <v>-0.1</v>
      </c>
      <c r="X36" s="25">
        <v>5.2326426254666172E-2</v>
      </c>
      <c r="Y36" s="18">
        <v>1.0062774279743494E-3</v>
      </c>
      <c r="Z36" s="15">
        <v>1019.8979439302464</v>
      </c>
      <c r="AA36" s="15">
        <v>34611.265297744445</v>
      </c>
      <c r="AB36" s="60">
        <v>1</v>
      </c>
      <c r="AC36" s="14">
        <v>0</v>
      </c>
      <c r="AD36" s="15">
        <v>0</v>
      </c>
      <c r="AE36" s="29"/>
      <c r="AF36" s="20">
        <v>0</v>
      </c>
      <c r="AG36" s="10">
        <v>0.85</v>
      </c>
      <c r="AH36" s="29"/>
      <c r="AI36" s="20">
        <v>87044.898803341552</v>
      </c>
      <c r="AJ36" s="29"/>
      <c r="AK36" s="20">
        <v>0</v>
      </c>
      <c r="AL36" s="15">
        <v>1019.8979439302464</v>
      </c>
      <c r="AM36" s="15">
        <v>183596.92722332693</v>
      </c>
      <c r="AN36" s="15">
        <v>0</v>
      </c>
      <c r="AO36" s="39">
        <v>1262.3367284325661</v>
      </c>
      <c r="AP36" s="15">
        <v>42919.448766707232</v>
      </c>
      <c r="AQ36" s="34">
        <v>0</v>
      </c>
      <c r="AR36" s="15">
        <v>0</v>
      </c>
      <c r="AS36" s="15">
        <v>86784.41281966478</v>
      </c>
      <c r="AT36" s="34">
        <v>1</v>
      </c>
      <c r="AU36" s="15">
        <v>-242.43878450231978</v>
      </c>
      <c r="AV36" s="15">
        <v>140677.47845661969</v>
      </c>
      <c r="AW36" s="39">
        <v>576.92307692307691</v>
      </c>
      <c r="AX36" s="39">
        <v>183020.00414640387</v>
      </c>
      <c r="AY36" s="15">
        <v>851.56694075453686</v>
      </c>
      <c r="AZ36" s="19">
        <v>0.22</v>
      </c>
      <c r="BA36" s="19">
        <v>0.22</v>
      </c>
      <c r="BB36" s="19">
        <v>0.24</v>
      </c>
    </row>
    <row r="37" spans="1:54" s="21" customFormat="1" ht="18.75" thickBot="1" x14ac:dyDescent="0.4">
      <c r="A37" s="59">
        <v>45907</v>
      </c>
      <c r="B37" s="57">
        <v>74617.394147309926</v>
      </c>
      <c r="C37" s="49">
        <v>7.3246192015237077E-2</v>
      </c>
      <c r="D37" s="29">
        <v>351937.8032088154</v>
      </c>
      <c r="E37" s="49">
        <v>0.34547043897515889</v>
      </c>
      <c r="F37" s="29">
        <v>490795.86079454812</v>
      </c>
      <c r="G37" s="49">
        <v>0.48177677967513227</v>
      </c>
      <c r="H37" s="30">
        <v>101369.39808529851</v>
      </c>
      <c r="I37" s="49">
        <v>9.9506589334471693E-2</v>
      </c>
      <c r="J37" s="14">
        <v>1018720.456235972</v>
      </c>
      <c r="K37" s="14">
        <v>5184.908704795409</v>
      </c>
      <c r="L37" s="17">
        <v>5.1156653729857657E-3</v>
      </c>
      <c r="M37" s="16">
        <v>52</v>
      </c>
      <c r="N37" s="34">
        <v>5.0000000000000001E-4</v>
      </c>
      <c r="O37" s="25">
        <v>5.2352589467793503E-2</v>
      </c>
      <c r="P37" s="15">
        <v>53332.653827765142</v>
      </c>
      <c r="Q37" s="17">
        <v>5.6182232056722738E-3</v>
      </c>
      <c r="R37" s="34">
        <v>0.2</v>
      </c>
      <c r="S37" s="15">
        <v>61582.847975648619</v>
      </c>
      <c r="T37" s="34">
        <v>-0.2</v>
      </c>
      <c r="U37" s="15">
        <v>41055.231983765741</v>
      </c>
      <c r="V37" s="34">
        <v>0.1</v>
      </c>
      <c r="W37" s="34">
        <v>-0.1</v>
      </c>
      <c r="X37" s="25">
        <v>5.2352589467793503E-2</v>
      </c>
      <c r="Y37" s="18">
        <v>1.0067805666883365E-3</v>
      </c>
      <c r="Z37" s="15">
        <v>1025.6279582262525</v>
      </c>
      <c r="AA37" s="15">
        <v>35636.893255970695</v>
      </c>
      <c r="AB37" s="60">
        <v>1</v>
      </c>
      <c r="AC37" s="14">
        <v>0</v>
      </c>
      <c r="AD37" s="15">
        <v>0</v>
      </c>
      <c r="AE37" s="29"/>
      <c r="AF37" s="20">
        <v>0</v>
      </c>
      <c r="AG37" s="10">
        <v>0.85</v>
      </c>
      <c r="AH37" s="29"/>
      <c r="AI37" s="20">
        <v>87044.898803341552</v>
      </c>
      <c r="AJ37" s="29"/>
      <c r="AK37" s="20">
        <v>0</v>
      </c>
      <c r="AL37" s="15">
        <v>1025.6279582262525</v>
      </c>
      <c r="AM37" s="15">
        <v>184622.55518155318</v>
      </c>
      <c r="AN37" s="15">
        <v>0</v>
      </c>
      <c r="AO37" s="39">
        <v>1262.3367284325661</v>
      </c>
      <c r="AP37" s="15">
        <v>44181.785495139797</v>
      </c>
      <c r="AQ37" s="34">
        <v>0</v>
      </c>
      <c r="AR37" s="15">
        <v>0</v>
      </c>
      <c r="AS37" s="15">
        <v>86784.41281966478</v>
      </c>
      <c r="AT37" s="34">
        <v>1</v>
      </c>
      <c r="AU37" s="15">
        <v>-236.7087702063136</v>
      </c>
      <c r="AV37" s="15">
        <v>140440.76968641338</v>
      </c>
      <c r="AW37" s="39">
        <v>576.92307692307691</v>
      </c>
      <c r="AX37" s="39">
        <v>184045.63210463012</v>
      </c>
      <c r="AY37" s="15">
        <v>851.56694075453686</v>
      </c>
      <c r="AZ37" s="19">
        <v>0.22</v>
      </c>
      <c r="BA37" s="19">
        <v>0.22</v>
      </c>
      <c r="BB37" s="19">
        <v>0.24</v>
      </c>
    </row>
    <row r="38" spans="1:54" s="21" customFormat="1" ht="18.75" thickBot="1" x14ac:dyDescent="0.4">
      <c r="A38" s="59">
        <v>45914</v>
      </c>
      <c r="B38" s="57">
        <v>76163.837688112253</v>
      </c>
      <c r="C38" s="49">
        <v>7.3895816400535067E-2</v>
      </c>
      <c r="D38" s="29">
        <v>357095.67383371154</v>
      </c>
      <c r="E38" s="49">
        <v>0.34646201073925076</v>
      </c>
      <c r="F38" s="29">
        <v>497747.48692672665</v>
      </c>
      <c r="G38" s="49">
        <v>0.48292546731145108</v>
      </c>
      <c r="H38" s="30">
        <v>99685.148929372896</v>
      </c>
      <c r="I38" s="49">
        <v>9.6716705548763035E-2</v>
      </c>
      <c r="J38" s="14">
        <v>1030692.1473779234</v>
      </c>
      <c r="K38" s="14">
        <v>11971.691141951364</v>
      </c>
      <c r="L38" s="17">
        <v>1.1751694067462893E-2</v>
      </c>
      <c r="M38" s="16">
        <v>52</v>
      </c>
      <c r="N38" s="34">
        <v>5.0000000000000001E-4</v>
      </c>
      <c r="O38" s="25">
        <v>5.2378765762527396E-2</v>
      </c>
      <c r="P38" s="15">
        <v>53986.382560784616</v>
      </c>
      <c r="Q38" s="17">
        <v>1.2257569914496565E-2</v>
      </c>
      <c r="R38" s="34">
        <v>0.2</v>
      </c>
      <c r="S38" s="15">
        <v>61582.847975648619</v>
      </c>
      <c r="T38" s="34">
        <v>-0.2</v>
      </c>
      <c r="U38" s="15">
        <v>41055.231983765741</v>
      </c>
      <c r="V38" s="34">
        <v>0.1</v>
      </c>
      <c r="W38" s="34">
        <v>-0.1</v>
      </c>
      <c r="X38" s="25">
        <v>5.2378765762527396E-2</v>
      </c>
      <c r="Y38" s="18">
        <v>1.0072839569716806E-3</v>
      </c>
      <c r="Z38" s="15">
        <v>1038.1996646304733</v>
      </c>
      <c r="AA38" s="15">
        <v>36675.092920601171</v>
      </c>
      <c r="AB38" s="60">
        <v>1</v>
      </c>
      <c r="AC38" s="14">
        <v>0</v>
      </c>
      <c r="AD38" s="15">
        <v>0</v>
      </c>
      <c r="AE38" s="29"/>
      <c r="AF38" s="20">
        <v>0</v>
      </c>
      <c r="AG38" s="10">
        <v>0.85</v>
      </c>
      <c r="AH38" s="29"/>
      <c r="AI38" s="20">
        <v>87044.898803341552</v>
      </c>
      <c r="AJ38" s="29"/>
      <c r="AK38" s="20">
        <v>0</v>
      </c>
      <c r="AL38" s="15">
        <v>1038.1996646304733</v>
      </c>
      <c r="AM38" s="15">
        <v>185660.75484618364</v>
      </c>
      <c r="AN38" s="15">
        <v>0</v>
      </c>
      <c r="AO38" s="39">
        <v>1262.3367284325661</v>
      </c>
      <c r="AP38" s="15">
        <v>45444.122223572362</v>
      </c>
      <c r="AQ38" s="34">
        <v>0</v>
      </c>
      <c r="AR38" s="15">
        <v>0</v>
      </c>
      <c r="AS38" s="15">
        <v>86784.41281966478</v>
      </c>
      <c r="AT38" s="34">
        <v>1</v>
      </c>
      <c r="AU38" s="15">
        <v>-224.13706380209283</v>
      </c>
      <c r="AV38" s="15">
        <v>140216.63262261127</v>
      </c>
      <c r="AW38" s="39">
        <v>576.92307692307691</v>
      </c>
      <c r="AX38" s="39">
        <v>185083.83176926058</v>
      </c>
      <c r="AY38" s="15">
        <v>851.56694075453686</v>
      </c>
      <c r="AZ38" s="19">
        <v>0.22</v>
      </c>
      <c r="BA38" s="19">
        <v>0.22</v>
      </c>
      <c r="BB38" s="19">
        <v>0.24</v>
      </c>
    </row>
    <row r="39" spans="1:54" s="21" customFormat="1" ht="18.75" thickBot="1" x14ac:dyDescent="0.4">
      <c r="A39" s="59">
        <v>45921</v>
      </c>
      <c r="B39" s="57">
        <v>76803.095424923988</v>
      </c>
      <c r="C39" s="49">
        <v>7.4084662793164169E-2</v>
      </c>
      <c r="D39" s="29">
        <v>359260.27542785567</v>
      </c>
      <c r="E39" s="49">
        <v>0.34654431846525163</v>
      </c>
      <c r="F39" s="29">
        <v>501215.8818331068</v>
      </c>
      <c r="G39" s="49">
        <v>0.48347543008187144</v>
      </c>
      <c r="H39" s="30">
        <v>99414.342577540272</v>
      </c>
      <c r="I39" s="49">
        <v>9.5895588659712719E-2</v>
      </c>
      <c r="J39" s="14">
        <v>1036693.5952634268</v>
      </c>
      <c r="K39" s="14">
        <v>6001.4478855034104</v>
      </c>
      <c r="L39" s="17">
        <v>5.8227356255416028E-3</v>
      </c>
      <c r="M39" s="16">
        <v>52</v>
      </c>
      <c r="N39" s="34">
        <v>5.0000000000000001E-4</v>
      </c>
      <c r="O39" s="25">
        <v>5.240495514540866E-2</v>
      </c>
      <c r="P39" s="15">
        <v>54327.88135931232</v>
      </c>
      <c r="Q39" s="17">
        <v>6.325646993354331E-3</v>
      </c>
      <c r="R39" s="34">
        <v>0.2</v>
      </c>
      <c r="S39" s="15">
        <v>61582.847975648619</v>
      </c>
      <c r="T39" s="34">
        <v>-0.2</v>
      </c>
      <c r="U39" s="15">
        <v>41055.231983765741</v>
      </c>
      <c r="V39" s="34">
        <v>0.1</v>
      </c>
      <c r="W39" s="34">
        <v>-0.1</v>
      </c>
      <c r="X39" s="25">
        <v>5.240495514540866E-2</v>
      </c>
      <c r="Y39" s="18">
        <v>1.0077875989501666E-3</v>
      </c>
      <c r="Z39" s="15">
        <v>1044.7669492175446</v>
      </c>
      <c r="AA39" s="15">
        <v>37719.859869818712</v>
      </c>
      <c r="AB39" s="60">
        <v>1</v>
      </c>
      <c r="AC39" s="14">
        <v>0</v>
      </c>
      <c r="AD39" s="15">
        <v>0</v>
      </c>
      <c r="AE39" s="29"/>
      <c r="AF39" s="20">
        <v>0</v>
      </c>
      <c r="AG39" s="10">
        <v>0.85</v>
      </c>
      <c r="AH39" s="29"/>
      <c r="AI39" s="20">
        <v>87044.898803341552</v>
      </c>
      <c r="AJ39" s="29"/>
      <c r="AK39" s="20">
        <v>0</v>
      </c>
      <c r="AL39" s="15">
        <v>1044.7669492175446</v>
      </c>
      <c r="AM39" s="15">
        <v>186705.52179540118</v>
      </c>
      <c r="AN39" s="15">
        <v>0</v>
      </c>
      <c r="AO39" s="39">
        <v>1262.3367284325661</v>
      </c>
      <c r="AP39" s="15">
        <v>46706.458952004927</v>
      </c>
      <c r="AQ39" s="34">
        <v>0</v>
      </c>
      <c r="AR39" s="15">
        <v>0</v>
      </c>
      <c r="AS39" s="15">
        <v>86784.41281966478</v>
      </c>
      <c r="AT39" s="34">
        <v>1</v>
      </c>
      <c r="AU39" s="15">
        <v>-217.56977921502153</v>
      </c>
      <c r="AV39" s="15">
        <v>139999.06284339624</v>
      </c>
      <c r="AW39" s="39">
        <v>576.92307692307691</v>
      </c>
      <c r="AX39" s="39">
        <v>186128.59871847811</v>
      </c>
      <c r="AY39" s="15">
        <v>851.56694075453686</v>
      </c>
      <c r="AZ39" s="19">
        <v>0.22</v>
      </c>
      <c r="BA39" s="19">
        <v>0.22</v>
      </c>
      <c r="BB39" s="19">
        <v>0.24</v>
      </c>
    </row>
    <row r="40" spans="1:54" s="21" customFormat="1" ht="18.75" thickBot="1" x14ac:dyDescent="0.4">
      <c r="A40" s="59">
        <v>45928</v>
      </c>
      <c r="B40" s="57">
        <v>76293.163195761008</v>
      </c>
      <c r="C40" s="49">
        <v>7.418360797258694E-2</v>
      </c>
      <c r="D40" s="29">
        <v>358048.61430517532</v>
      </c>
      <c r="E40" s="49">
        <v>0.34814833893555103</v>
      </c>
      <c r="F40" s="29">
        <v>498630.97330626973</v>
      </c>
      <c r="G40" s="49">
        <v>0.48484350493933936</v>
      </c>
      <c r="H40" s="29">
        <v>95464.194777236436</v>
      </c>
      <c r="I40" s="49">
        <v>9.2824548152522696E-2</v>
      </c>
      <c r="J40" s="14">
        <v>1028436.9455844425</v>
      </c>
      <c r="K40" s="14">
        <v>-8256.6496789843077</v>
      </c>
      <c r="L40" s="17">
        <v>-7.9644069537115926E-3</v>
      </c>
      <c r="M40" s="16">
        <v>52</v>
      </c>
      <c r="N40" s="34">
        <v>5.0000000000000001E-4</v>
      </c>
      <c r="O40" s="25">
        <v>5.243115762298136E-2</v>
      </c>
      <c r="P40" s="15">
        <v>53922.139599235408</v>
      </c>
      <c r="Q40" s="17">
        <v>-7.468389157188499E-3</v>
      </c>
      <c r="R40" s="34">
        <v>0.2</v>
      </c>
      <c r="S40" s="15">
        <v>61582.847975648619</v>
      </c>
      <c r="T40" s="34">
        <v>-0.2</v>
      </c>
      <c r="U40" s="15">
        <v>41055.231983765741</v>
      </c>
      <c r="V40" s="34">
        <v>0.1</v>
      </c>
      <c r="W40" s="34">
        <v>-0.1</v>
      </c>
      <c r="X40" s="25">
        <v>5.243115762298136E-2</v>
      </c>
      <c r="Y40" s="18">
        <v>1.0082914927496416E-3</v>
      </c>
      <c r="Z40" s="15">
        <v>1036.9642230622194</v>
      </c>
      <c r="AA40" s="15">
        <v>38756.824092880932</v>
      </c>
      <c r="AB40" s="60">
        <v>1</v>
      </c>
      <c r="AC40" s="14">
        <v>0</v>
      </c>
      <c r="AD40" s="15">
        <v>0</v>
      </c>
      <c r="AE40" s="29"/>
      <c r="AF40" s="20">
        <v>0</v>
      </c>
      <c r="AG40" s="10">
        <v>0.85</v>
      </c>
      <c r="AH40" s="29"/>
      <c r="AI40" s="20">
        <v>87044.898803341552</v>
      </c>
      <c r="AJ40" s="29"/>
      <c r="AK40" s="20">
        <v>0</v>
      </c>
      <c r="AL40" s="15">
        <v>1036.9642230622194</v>
      </c>
      <c r="AM40" s="15">
        <v>187742.48601846339</v>
      </c>
      <c r="AN40" s="15">
        <v>0</v>
      </c>
      <c r="AO40" s="39">
        <v>1262.3367284325661</v>
      </c>
      <c r="AP40" s="15">
        <v>47968.795680437492</v>
      </c>
      <c r="AQ40" s="34">
        <v>0</v>
      </c>
      <c r="AR40" s="15">
        <v>0</v>
      </c>
      <c r="AS40" s="15">
        <v>86784.41281966478</v>
      </c>
      <c r="AT40" s="34">
        <v>1</v>
      </c>
      <c r="AU40" s="15">
        <v>-225.37250537034674</v>
      </c>
      <c r="AV40" s="15">
        <v>139773.69033802589</v>
      </c>
      <c r="AW40" s="39">
        <v>576.92307692307691</v>
      </c>
      <c r="AX40" s="39">
        <v>187165.56294154032</v>
      </c>
      <c r="AY40" s="15">
        <v>851.56694075453686</v>
      </c>
      <c r="AZ40" s="19">
        <v>0.22</v>
      </c>
      <c r="BA40" s="19">
        <v>0.22</v>
      </c>
      <c r="BB40" s="19">
        <v>0.24</v>
      </c>
    </row>
    <row r="41" spans="1:54" s="21" customFormat="1" ht="18.75" thickBot="1" x14ac:dyDescent="0.4">
      <c r="A41" s="59">
        <v>45935</v>
      </c>
      <c r="B41" s="57">
        <v>77832.46131753712</v>
      </c>
      <c r="C41" s="49">
        <v>7.4708984902449233E-2</v>
      </c>
      <c r="D41" s="29">
        <v>363159.7514910695</v>
      </c>
      <c r="E41" s="49">
        <v>0.34858587191062318</v>
      </c>
      <c r="F41" s="29">
        <v>506077.91586193664</v>
      </c>
      <c r="G41" s="49">
        <v>0.48576862064457699</v>
      </c>
      <c r="H41" s="29">
        <v>94738.449228973695</v>
      </c>
      <c r="I41" s="49">
        <v>9.0936522542350656E-2</v>
      </c>
      <c r="J41" s="14">
        <v>1041808.5778995169</v>
      </c>
      <c r="K41" s="14">
        <v>13371.632315074443</v>
      </c>
      <c r="L41" s="17">
        <v>1.3001898047794832E-2</v>
      </c>
      <c r="M41" s="16">
        <v>52</v>
      </c>
      <c r="N41" s="34">
        <v>5.0000000000000001E-4</v>
      </c>
      <c r="O41" s="25">
        <v>5.2457373201792848E-2</v>
      </c>
      <c r="P41" s="15">
        <v>54650.541375704037</v>
      </c>
      <c r="Q41" s="17">
        <v>1.3508398996818684E-2</v>
      </c>
      <c r="R41" s="34">
        <v>0.2</v>
      </c>
      <c r="S41" s="15">
        <v>61582.847975648619</v>
      </c>
      <c r="T41" s="34">
        <v>-0.2</v>
      </c>
      <c r="U41" s="15">
        <v>41055.231983765741</v>
      </c>
      <c r="V41" s="34">
        <v>0.1</v>
      </c>
      <c r="W41" s="34">
        <v>-0.1</v>
      </c>
      <c r="X41" s="25">
        <v>5.2457373201792848E-2</v>
      </c>
      <c r="Y41" s="18">
        <v>1.0087956384960163E-3</v>
      </c>
      <c r="Z41" s="15">
        <v>1050.9719495327699</v>
      </c>
      <c r="AA41" s="15">
        <v>39807.796042413698</v>
      </c>
      <c r="AB41" s="60">
        <v>1</v>
      </c>
      <c r="AC41" s="14">
        <v>0</v>
      </c>
      <c r="AD41" s="15">
        <v>0</v>
      </c>
      <c r="AE41" s="29"/>
      <c r="AF41" s="20">
        <v>0</v>
      </c>
      <c r="AG41" s="10">
        <v>0.85</v>
      </c>
      <c r="AH41" s="29"/>
      <c r="AI41" s="20">
        <v>87044.898803341552</v>
      </c>
      <c r="AJ41" s="29"/>
      <c r="AK41" s="20">
        <v>0</v>
      </c>
      <c r="AL41" s="15">
        <v>1050.9719495327699</v>
      </c>
      <c r="AM41" s="15">
        <v>188793.45796799616</v>
      </c>
      <c r="AN41" s="15">
        <v>0</v>
      </c>
      <c r="AO41" s="39">
        <v>1262.3367284325661</v>
      </c>
      <c r="AP41" s="15">
        <v>49231.132408870057</v>
      </c>
      <c r="AQ41" s="34">
        <v>0</v>
      </c>
      <c r="AR41" s="15">
        <v>0</v>
      </c>
      <c r="AS41" s="15">
        <v>86784.41281966478</v>
      </c>
      <c r="AT41" s="34">
        <v>1</v>
      </c>
      <c r="AU41" s="15">
        <v>-211.36477889979619</v>
      </c>
      <c r="AV41" s="15">
        <v>139562.3255591261</v>
      </c>
      <c r="AW41" s="39">
        <v>576.92307692307691</v>
      </c>
      <c r="AX41" s="39">
        <v>188216.5348910731</v>
      </c>
      <c r="AY41" s="15">
        <v>851.56694075453686</v>
      </c>
      <c r="AZ41" s="19">
        <v>0.22</v>
      </c>
      <c r="BA41" s="19">
        <v>0.22</v>
      </c>
      <c r="BB41" s="19">
        <v>0.24</v>
      </c>
    </row>
    <row r="42" spans="1:54" s="21" customFormat="1" ht="18.75" thickBot="1" x14ac:dyDescent="0.4">
      <c r="A42" s="59">
        <v>45942</v>
      </c>
      <c r="B42" s="57">
        <v>76098.024007292581</v>
      </c>
      <c r="C42" s="49">
        <v>7.4814654857123505E-2</v>
      </c>
      <c r="D42" s="29">
        <v>352936.01476498129</v>
      </c>
      <c r="E42" s="49">
        <v>0.34698386030050288</v>
      </c>
      <c r="F42" s="29">
        <v>493381.43859994051</v>
      </c>
      <c r="G42" s="49">
        <v>0.48506071640215359</v>
      </c>
      <c r="H42" s="29">
        <v>94738.503390244063</v>
      </c>
      <c r="I42" s="49">
        <v>9.3140768440219929E-2</v>
      </c>
      <c r="J42" s="14">
        <v>1017153.9807624585</v>
      </c>
      <c r="K42" s="14">
        <v>-24654.597137058387</v>
      </c>
      <c r="L42" s="17">
        <v>-2.3665189229644005E-2</v>
      </c>
      <c r="M42" s="16">
        <v>52</v>
      </c>
      <c r="N42" s="34">
        <v>5.0000000000000001E-4</v>
      </c>
      <c r="O42" s="25">
        <v>5.2483601888393738E-2</v>
      </c>
      <c r="P42" s="15">
        <v>53383.904585531775</v>
      </c>
      <c r="Q42" s="17">
        <v>-2.3177021824259007E-2</v>
      </c>
      <c r="R42" s="34">
        <v>0.2</v>
      </c>
      <c r="S42" s="15">
        <v>61582.847975648619</v>
      </c>
      <c r="T42" s="34">
        <v>-0.2</v>
      </c>
      <c r="U42" s="15">
        <v>41055.231983765741</v>
      </c>
      <c r="V42" s="34">
        <v>0.1</v>
      </c>
      <c r="W42" s="34">
        <v>-0.1</v>
      </c>
      <c r="X42" s="25">
        <v>5.2483601888393738E-2</v>
      </c>
      <c r="Y42" s="18">
        <v>1.0093000363152642E-3</v>
      </c>
      <c r="Z42" s="15">
        <v>1026.6135497217649</v>
      </c>
      <c r="AA42" s="15">
        <v>40834.40959213546</v>
      </c>
      <c r="AB42" s="60">
        <v>1</v>
      </c>
      <c r="AC42" s="14">
        <v>0</v>
      </c>
      <c r="AD42" s="15">
        <v>0</v>
      </c>
      <c r="AE42" s="29"/>
      <c r="AF42" s="20">
        <v>0</v>
      </c>
      <c r="AG42" s="10">
        <v>0.85</v>
      </c>
      <c r="AH42" s="29"/>
      <c r="AI42" s="20">
        <v>87044.898803341552</v>
      </c>
      <c r="AJ42" s="29"/>
      <c r="AK42" s="20">
        <v>0</v>
      </c>
      <c r="AL42" s="15">
        <v>1026.6135497217649</v>
      </c>
      <c r="AM42" s="15">
        <v>189820.07151771794</v>
      </c>
      <c r="AN42" s="15">
        <v>0</v>
      </c>
      <c r="AO42" s="39">
        <v>1262.3367284325661</v>
      </c>
      <c r="AP42" s="15">
        <v>50493.469137302622</v>
      </c>
      <c r="AQ42" s="34">
        <v>0</v>
      </c>
      <c r="AR42" s="15">
        <v>0</v>
      </c>
      <c r="AS42" s="15">
        <v>86784.41281966478</v>
      </c>
      <c r="AT42" s="34">
        <v>1</v>
      </c>
      <c r="AU42" s="15">
        <v>-235.72317871080122</v>
      </c>
      <c r="AV42" s="15">
        <v>139326.60238041531</v>
      </c>
      <c r="AW42" s="39">
        <v>576.92307692307691</v>
      </c>
      <c r="AX42" s="39">
        <v>189243.14844079487</v>
      </c>
      <c r="AY42" s="15">
        <v>851.56694075453686</v>
      </c>
      <c r="AZ42" s="19">
        <v>0.22</v>
      </c>
      <c r="BA42" s="19">
        <v>0.22</v>
      </c>
      <c r="BB42" s="19">
        <v>0.24</v>
      </c>
    </row>
    <row r="43" spans="1:54" s="21" customFormat="1" ht="18.75" thickBot="1" x14ac:dyDescent="0.4">
      <c r="A43" s="59">
        <v>45949</v>
      </c>
      <c r="B43" s="57">
        <v>77686.140776979781</v>
      </c>
      <c r="C43" s="49">
        <v>7.5052559250193482E-2</v>
      </c>
      <c r="D43" s="29">
        <v>361084.03241025895</v>
      </c>
      <c r="E43" s="49">
        <v>0.34884318445639911</v>
      </c>
      <c r="F43" s="29">
        <v>501581.15317778295</v>
      </c>
      <c r="G43" s="49">
        <v>0.48457741420991024</v>
      </c>
      <c r="H43" s="29">
        <v>94738.503390244063</v>
      </c>
      <c r="I43" s="49">
        <v>9.1526842083497054E-2</v>
      </c>
      <c r="J43" s="14">
        <v>1035089.8297552658</v>
      </c>
      <c r="K43" s="14">
        <v>17935.848992807325</v>
      </c>
      <c r="L43" s="17">
        <v>1.7216069605578973E-2</v>
      </c>
      <c r="M43" s="16">
        <v>52</v>
      </c>
      <c r="N43" s="34">
        <v>5.0000000000000001E-4</v>
      </c>
      <c r="O43" s="25">
        <v>5.2509843689337934E-2</v>
      </c>
      <c r="P43" s="15">
        <v>54352.40516487242</v>
      </c>
      <c r="Q43" s="17">
        <v>1.8142183245305938E-2</v>
      </c>
      <c r="R43" s="34">
        <v>0.2</v>
      </c>
      <c r="S43" s="15">
        <v>61582.847975648619</v>
      </c>
      <c r="T43" s="34">
        <v>-0.2</v>
      </c>
      <c r="U43" s="15">
        <v>41055.231983765741</v>
      </c>
      <c r="V43" s="34">
        <v>0.1</v>
      </c>
      <c r="W43" s="34">
        <v>-0.1</v>
      </c>
      <c r="X43" s="25">
        <v>5.2509843689337934E-2</v>
      </c>
      <c r="Y43" s="18">
        <v>1.0098046863334217E-3</v>
      </c>
      <c r="Z43" s="15">
        <v>1045.2385608629311</v>
      </c>
      <c r="AA43" s="15">
        <v>41879.648152998394</v>
      </c>
      <c r="AB43" s="60">
        <v>1</v>
      </c>
      <c r="AC43" s="14">
        <v>0</v>
      </c>
      <c r="AD43" s="15">
        <v>0</v>
      </c>
      <c r="AE43" s="29"/>
      <c r="AF43" s="20">
        <v>0</v>
      </c>
      <c r="AG43" s="10">
        <v>0.85</v>
      </c>
      <c r="AH43" s="29"/>
      <c r="AI43" s="20">
        <v>87044.898803341552</v>
      </c>
      <c r="AJ43" s="29"/>
      <c r="AK43" s="20">
        <v>0</v>
      </c>
      <c r="AL43" s="15">
        <v>1045.2385608629311</v>
      </c>
      <c r="AM43" s="15">
        <v>190865.31007858086</v>
      </c>
      <c r="AN43" s="15">
        <v>0</v>
      </c>
      <c r="AO43" s="39">
        <v>1262.3367284325661</v>
      </c>
      <c r="AP43" s="15">
        <v>51755.805865735187</v>
      </c>
      <c r="AQ43" s="34">
        <v>0</v>
      </c>
      <c r="AR43" s="15">
        <v>0</v>
      </c>
      <c r="AS43" s="15">
        <v>86784.41281966478</v>
      </c>
      <c r="AT43" s="34">
        <v>1</v>
      </c>
      <c r="AU43" s="15">
        <v>-217.09816756963505</v>
      </c>
      <c r="AV43" s="15">
        <v>139109.50421284567</v>
      </c>
      <c r="AW43" s="39">
        <v>576.92307692307691</v>
      </c>
      <c r="AX43" s="39">
        <v>190288.3870016578</v>
      </c>
      <c r="AY43" s="15">
        <v>851.56694075453686</v>
      </c>
      <c r="AZ43" s="19">
        <v>0.22</v>
      </c>
      <c r="BA43" s="19">
        <v>0.22</v>
      </c>
      <c r="BB43" s="19">
        <v>0.24</v>
      </c>
    </row>
    <row r="44" spans="1:54" s="21" customFormat="1" ht="18.75" thickBot="1" x14ac:dyDescent="0.4">
      <c r="A44" s="59">
        <v>45956</v>
      </c>
      <c r="B44" s="57">
        <v>78814.67208697187</v>
      </c>
      <c r="C44" s="49">
        <v>7.5219999284817832E-2</v>
      </c>
      <c r="D44" s="29">
        <v>366461.34515936935</v>
      </c>
      <c r="E44" s="49">
        <v>0.34974734260624674</v>
      </c>
      <c r="F44" s="29">
        <v>509922.48013432306</v>
      </c>
      <c r="G44" s="49">
        <v>0.48666533242300519</v>
      </c>
      <c r="H44" s="29">
        <v>92590.293317710137</v>
      </c>
      <c r="I44" s="49">
        <v>8.8367325685930129E-2</v>
      </c>
      <c r="J44" s="14">
        <v>1047788.7906983745</v>
      </c>
      <c r="K44" s="14">
        <v>12698.960943108657</v>
      </c>
      <c r="L44" s="17">
        <v>1.2484796975959842E-2</v>
      </c>
      <c r="M44" s="16">
        <v>52</v>
      </c>
      <c r="N44" s="34">
        <v>5.0000000000000001E-4</v>
      </c>
      <c r="O44" s="25">
        <v>5.2536098611182601E-2</v>
      </c>
      <c r="P44" s="15">
        <v>55046.735231821571</v>
      </c>
      <c r="Q44" s="17">
        <v>1.2774596907772015E-2</v>
      </c>
      <c r="R44" s="34">
        <v>0.2</v>
      </c>
      <c r="S44" s="15">
        <v>61582.847975648619</v>
      </c>
      <c r="T44" s="34">
        <v>-0.2</v>
      </c>
      <c r="U44" s="15">
        <v>41055.231983765741</v>
      </c>
      <c r="V44" s="34">
        <v>0.1</v>
      </c>
      <c r="W44" s="34">
        <v>-0.1</v>
      </c>
      <c r="X44" s="25">
        <v>5.2536098611182601E-2</v>
      </c>
      <c r="Y44" s="18">
        <v>1.0103095886765884E-3</v>
      </c>
      <c r="Z44" s="15">
        <v>1058.5910621504147</v>
      </c>
      <c r="AA44" s="15">
        <v>42938.239215148809</v>
      </c>
      <c r="AB44" s="60">
        <v>1</v>
      </c>
      <c r="AC44" s="14">
        <v>0</v>
      </c>
      <c r="AD44" s="15">
        <v>0</v>
      </c>
      <c r="AE44" s="29"/>
      <c r="AF44" s="20">
        <v>0</v>
      </c>
      <c r="AG44" s="10">
        <v>0.85</v>
      </c>
      <c r="AH44" s="29"/>
      <c r="AI44" s="20">
        <v>87044.898803341552</v>
      </c>
      <c r="AJ44" s="29"/>
      <c r="AK44" s="20">
        <v>0</v>
      </c>
      <c r="AL44" s="15">
        <v>1058.5910621504147</v>
      </c>
      <c r="AM44" s="15">
        <v>191923.90114073126</v>
      </c>
      <c r="AN44" s="15">
        <v>0</v>
      </c>
      <c r="AO44" s="39">
        <v>1262.3367284325661</v>
      </c>
      <c r="AP44" s="15">
        <v>53018.142594167752</v>
      </c>
      <c r="AQ44" s="34">
        <v>0</v>
      </c>
      <c r="AR44" s="15">
        <v>0</v>
      </c>
      <c r="AS44" s="15">
        <v>86784.41281966478</v>
      </c>
      <c r="AT44" s="34">
        <v>1</v>
      </c>
      <c r="AU44" s="15">
        <v>-203.74566628215143</v>
      </c>
      <c r="AV44" s="15">
        <v>138905.75854656351</v>
      </c>
      <c r="AW44" s="39">
        <v>576.92307692307691</v>
      </c>
      <c r="AX44" s="39">
        <v>191346.9780638082</v>
      </c>
      <c r="AY44" s="15">
        <v>851.56694075453686</v>
      </c>
      <c r="AZ44" s="19">
        <v>0.22</v>
      </c>
      <c r="BA44" s="19">
        <v>0.22</v>
      </c>
      <c r="BB44" s="19">
        <v>0.24</v>
      </c>
    </row>
    <row r="45" spans="1:54" s="21" customFormat="1" ht="18.75" thickBot="1" x14ac:dyDescent="0.4">
      <c r="A45" s="59">
        <v>45963</v>
      </c>
      <c r="B45" s="57">
        <v>79944.936557615656</v>
      </c>
      <c r="C45" s="49">
        <v>7.6499345242456676E-2</v>
      </c>
      <c r="D45" s="29">
        <v>364643.37956423312</v>
      </c>
      <c r="E45" s="49">
        <v>0.34892741160106816</v>
      </c>
      <c r="F45" s="29">
        <v>508590.19025654998</v>
      </c>
      <c r="G45" s="49">
        <v>0.4866701785837646</v>
      </c>
      <c r="H45" s="29">
        <v>91862.288470740677</v>
      </c>
      <c r="I45" s="49">
        <v>8.7903064572710563E-2</v>
      </c>
      <c r="J45" s="14">
        <v>1045040.7948491394</v>
      </c>
      <c r="K45" s="14">
        <v>-2747.9958492350997</v>
      </c>
      <c r="L45" s="17">
        <v>-2.6226620036691739E-3</v>
      </c>
      <c r="M45" s="16">
        <v>52</v>
      </c>
      <c r="N45" s="34">
        <v>5.0000000000000001E-4</v>
      </c>
      <c r="O45" s="25">
        <v>5.2562366660488191E-2</v>
      </c>
      <c r="P45" s="15">
        <v>54929.817434028482</v>
      </c>
      <c r="Q45" s="17">
        <v>-2.1239733346710881E-3</v>
      </c>
      <c r="R45" s="34">
        <v>0.2</v>
      </c>
      <c r="S45" s="15">
        <v>61582.847975648619</v>
      </c>
      <c r="T45" s="34">
        <v>-0.2</v>
      </c>
      <c r="U45" s="15">
        <v>41055.231983765741</v>
      </c>
      <c r="V45" s="34">
        <v>0.1</v>
      </c>
      <c r="W45" s="34">
        <v>-0.1</v>
      </c>
      <c r="X45" s="25">
        <v>5.2562366660488191E-2</v>
      </c>
      <c r="Y45" s="18">
        <v>1.0108147434709268E-3</v>
      </c>
      <c r="Z45" s="15">
        <v>1056.3426429620863</v>
      </c>
      <c r="AA45" s="15">
        <v>43994.581858110898</v>
      </c>
      <c r="AB45" s="60">
        <v>1</v>
      </c>
      <c r="AC45" s="14">
        <v>0</v>
      </c>
      <c r="AD45" s="15">
        <v>0</v>
      </c>
      <c r="AE45" s="29"/>
      <c r="AF45" s="20">
        <v>0</v>
      </c>
      <c r="AG45" s="10">
        <v>0.85</v>
      </c>
      <c r="AH45" s="29"/>
      <c r="AI45" s="20">
        <v>87044.898803341552</v>
      </c>
      <c r="AJ45" s="29"/>
      <c r="AK45" s="20">
        <v>0</v>
      </c>
      <c r="AL45" s="15">
        <v>1056.3426429620863</v>
      </c>
      <c r="AM45" s="15">
        <v>192980.24378369335</v>
      </c>
      <c r="AN45" s="15">
        <v>0</v>
      </c>
      <c r="AO45" s="39">
        <v>1262.3367284325661</v>
      </c>
      <c r="AP45" s="15">
        <v>54280.479322600317</v>
      </c>
      <c r="AQ45" s="34">
        <v>0</v>
      </c>
      <c r="AR45" s="15">
        <v>0</v>
      </c>
      <c r="AS45" s="15">
        <v>86784.41281966478</v>
      </c>
      <c r="AT45" s="34">
        <v>1</v>
      </c>
      <c r="AU45" s="15">
        <v>-205.99408547047983</v>
      </c>
      <c r="AV45" s="15">
        <v>138699.76446109303</v>
      </c>
      <c r="AW45" s="39">
        <v>576.92307692307691</v>
      </c>
      <c r="AX45" s="39">
        <v>192403.32070677029</v>
      </c>
      <c r="AY45" s="15">
        <v>851.56694075453686</v>
      </c>
      <c r="AZ45" s="19">
        <v>0.22</v>
      </c>
      <c r="BA45" s="19">
        <v>0.22</v>
      </c>
      <c r="BB45" s="19">
        <v>0.24</v>
      </c>
    </row>
    <row r="46" spans="1:54" s="21" customFormat="1" ht="18.75" thickBot="1" x14ac:dyDescent="0.4">
      <c r="A46" s="59">
        <v>45970</v>
      </c>
      <c r="B46" s="57">
        <v>78473.529588243982</v>
      </c>
      <c r="C46" s="49">
        <v>7.5860071230284501E-2</v>
      </c>
      <c r="D46" s="29">
        <v>361693.7683860588</v>
      </c>
      <c r="E46" s="49">
        <v>0.34964803007187423</v>
      </c>
      <c r="F46" s="29">
        <v>502125.48555095308</v>
      </c>
      <c r="G46" s="49">
        <v>0.48540285240518727</v>
      </c>
      <c r="H46" s="29">
        <v>92158.256601320711</v>
      </c>
      <c r="I46" s="49">
        <v>8.9089046292654045E-2</v>
      </c>
      <c r="J46" s="14">
        <v>1034451.0401265766</v>
      </c>
      <c r="K46" s="14">
        <v>-10589.754722562851</v>
      </c>
      <c r="L46" s="17">
        <v>-1.0133340989900373E-2</v>
      </c>
      <c r="M46" s="16">
        <v>52</v>
      </c>
      <c r="N46" s="34">
        <v>5.0000000000000001E-4</v>
      </c>
      <c r="O46" s="25">
        <v>5.2588647843818434E-2</v>
      </c>
      <c r="P46" s="15">
        <v>54400.381460888224</v>
      </c>
      <c r="Q46" s="17">
        <v>-9.6384076603953529E-3</v>
      </c>
      <c r="R46" s="34">
        <v>0.2</v>
      </c>
      <c r="S46" s="15">
        <v>61582.847975648619</v>
      </c>
      <c r="T46" s="34">
        <v>-0.2</v>
      </c>
      <c r="U46" s="15">
        <v>41055.231983765741</v>
      </c>
      <c r="V46" s="34">
        <v>0.1</v>
      </c>
      <c r="W46" s="34">
        <v>-0.1</v>
      </c>
      <c r="X46" s="25">
        <v>5.2588647843818434E-2</v>
      </c>
      <c r="Y46" s="18">
        <v>1.0113201508426622E-3</v>
      </c>
      <c r="Z46" s="15">
        <v>1046.1611819401583</v>
      </c>
      <c r="AA46" s="15">
        <v>45040.743040051057</v>
      </c>
      <c r="AB46" s="60">
        <v>1</v>
      </c>
      <c r="AC46" s="14">
        <v>0</v>
      </c>
      <c r="AD46" s="15">
        <v>0</v>
      </c>
      <c r="AE46" s="29"/>
      <c r="AF46" s="20">
        <v>0</v>
      </c>
      <c r="AG46" s="10">
        <v>0.85</v>
      </c>
      <c r="AH46" s="29"/>
      <c r="AI46" s="20">
        <v>87044.898803341552</v>
      </c>
      <c r="AJ46" s="29"/>
      <c r="AK46" s="20">
        <v>0</v>
      </c>
      <c r="AL46" s="15">
        <v>1046.1611819401583</v>
      </c>
      <c r="AM46" s="15">
        <v>194026.4049656335</v>
      </c>
      <c r="AN46" s="15">
        <v>0</v>
      </c>
      <c r="AO46" s="39">
        <v>1262.3367284325661</v>
      </c>
      <c r="AP46" s="15">
        <v>55542.816051032882</v>
      </c>
      <c r="AQ46" s="34">
        <v>0</v>
      </c>
      <c r="AR46" s="15">
        <v>0</v>
      </c>
      <c r="AS46" s="15">
        <v>86784.41281966478</v>
      </c>
      <c r="AT46" s="34">
        <v>1</v>
      </c>
      <c r="AU46" s="15">
        <v>-216.17554649240788</v>
      </c>
      <c r="AV46" s="15">
        <v>138483.58891460061</v>
      </c>
      <c r="AW46" s="39">
        <v>576.92307692307691</v>
      </c>
      <c r="AX46" s="39">
        <v>193449.48188871043</v>
      </c>
      <c r="AY46" s="15">
        <v>851.56694075453686</v>
      </c>
      <c r="AZ46" s="19">
        <v>0.22</v>
      </c>
      <c r="BA46" s="19">
        <v>0.22</v>
      </c>
      <c r="BB46" s="19">
        <v>0.24</v>
      </c>
    </row>
    <row r="47" spans="1:54" s="21" customFormat="1" ht="18.75" thickBot="1" x14ac:dyDescent="0.4">
      <c r="A47" s="59">
        <v>45977</v>
      </c>
      <c r="B47" s="57">
        <v>79083.834257382638</v>
      </c>
      <c r="C47" s="49">
        <v>7.6174283825759692E-2</v>
      </c>
      <c r="D47" s="29">
        <v>362139.99148662202</v>
      </c>
      <c r="E47" s="49">
        <v>0.34881660398989772</v>
      </c>
      <c r="F47" s="29">
        <v>504813.88465947396</v>
      </c>
      <c r="G47" s="49">
        <v>0.48624142329878678</v>
      </c>
      <c r="H47" s="29">
        <v>92158.256601320711</v>
      </c>
      <c r="I47" s="49">
        <v>8.8767688885555723E-2</v>
      </c>
      <c r="J47" s="14">
        <v>1038195.9670047994</v>
      </c>
      <c r="K47" s="14">
        <v>3744.9268782228464</v>
      </c>
      <c r="L47" s="17">
        <v>3.6202069822121432E-3</v>
      </c>
      <c r="M47" s="16">
        <v>52</v>
      </c>
      <c r="N47" s="34">
        <v>5.0000000000000001E-4</v>
      </c>
      <c r="O47" s="25">
        <v>5.261494216774034E-2</v>
      </c>
      <c r="P47" s="15">
        <v>54624.620762738778</v>
      </c>
      <c r="Q47" s="17">
        <v>4.1220170857032131E-3</v>
      </c>
      <c r="R47" s="34">
        <v>0.2</v>
      </c>
      <c r="S47" s="15">
        <v>61582.847975648619</v>
      </c>
      <c r="T47" s="34">
        <v>-0.2</v>
      </c>
      <c r="U47" s="15">
        <v>41055.231983765741</v>
      </c>
      <c r="V47" s="34">
        <v>0.1</v>
      </c>
      <c r="W47" s="34">
        <v>-0.1</v>
      </c>
      <c r="X47" s="25">
        <v>5.261494216774034E-2</v>
      </c>
      <c r="Y47" s="18">
        <v>1.0118258109180834E-3</v>
      </c>
      <c r="Z47" s="15">
        <v>1050.473476206515</v>
      </c>
      <c r="AA47" s="15">
        <v>46091.216516257569</v>
      </c>
      <c r="AB47" s="60">
        <v>1</v>
      </c>
      <c r="AC47" s="14">
        <v>0</v>
      </c>
      <c r="AD47" s="15">
        <v>0</v>
      </c>
      <c r="AE47" s="29"/>
      <c r="AF47" s="20">
        <v>0</v>
      </c>
      <c r="AG47" s="10">
        <v>0.85</v>
      </c>
      <c r="AH47" s="29"/>
      <c r="AI47" s="20">
        <v>87044.898803341552</v>
      </c>
      <c r="AJ47" s="29"/>
      <c r="AK47" s="20">
        <v>0</v>
      </c>
      <c r="AL47" s="15">
        <v>1050.473476206515</v>
      </c>
      <c r="AM47" s="15">
        <v>195076.87844184</v>
      </c>
      <c r="AN47" s="15">
        <v>0</v>
      </c>
      <c r="AO47" s="39">
        <v>1262.3367284325661</v>
      </c>
      <c r="AP47" s="15">
        <v>56805.152779465447</v>
      </c>
      <c r="AQ47" s="34">
        <v>0</v>
      </c>
      <c r="AR47" s="15">
        <v>0</v>
      </c>
      <c r="AS47" s="15">
        <v>86784.41281966478</v>
      </c>
      <c r="AT47" s="34">
        <v>1</v>
      </c>
      <c r="AU47" s="15">
        <v>-211.86325222605115</v>
      </c>
      <c r="AV47" s="15">
        <v>138271.72566237455</v>
      </c>
      <c r="AW47" s="39">
        <v>576.92307692307691</v>
      </c>
      <c r="AX47" s="39">
        <v>194499.95536491694</v>
      </c>
      <c r="AY47" s="15">
        <v>851.56694075453686</v>
      </c>
      <c r="AZ47" s="19">
        <v>0.22</v>
      </c>
      <c r="BA47" s="19">
        <v>0.22</v>
      </c>
      <c r="BB47" s="19">
        <v>0.24</v>
      </c>
    </row>
    <row r="48" spans="1:54" s="21" customFormat="1" ht="18.75" thickBot="1" x14ac:dyDescent="0.4">
      <c r="A48" s="59">
        <v>45984</v>
      </c>
      <c r="B48" s="57">
        <v>76893.50219115222</v>
      </c>
      <c r="C48" s="49">
        <v>7.6276437373190994E-2</v>
      </c>
      <c r="D48" s="29">
        <v>352460.06099564896</v>
      </c>
      <c r="E48" s="49">
        <v>0.34963159438690722</v>
      </c>
      <c r="F48" s="29">
        <v>488727.89451272442</v>
      </c>
      <c r="G48" s="49">
        <v>0.48480588835269328</v>
      </c>
      <c r="H48" s="29">
        <v>90008.390741378433</v>
      </c>
      <c r="I48" s="49">
        <v>8.9286079887208464E-2</v>
      </c>
      <c r="J48" s="14">
        <v>1008089.8484409041</v>
      </c>
      <c r="K48" s="14">
        <v>-30106.118563895347</v>
      </c>
      <c r="L48" s="17">
        <v>-2.8998493079058715E-2</v>
      </c>
      <c r="M48" s="16">
        <v>52</v>
      </c>
      <c r="N48" s="34">
        <v>5.0000000000000001E-4</v>
      </c>
      <c r="O48" s="25">
        <v>5.264124963882421E-2</v>
      </c>
      <c r="P48" s="15">
        <v>53067.10937014209</v>
      </c>
      <c r="Q48" s="17">
        <v>-2.8512992325598278E-2</v>
      </c>
      <c r="R48" s="34">
        <v>0.2</v>
      </c>
      <c r="S48" s="15">
        <v>61582.847975648619</v>
      </c>
      <c r="T48" s="34">
        <v>-0.2</v>
      </c>
      <c r="U48" s="15">
        <v>41055.231983765741</v>
      </c>
      <c r="V48" s="34">
        <v>0.1</v>
      </c>
      <c r="W48" s="34">
        <v>-0.1</v>
      </c>
      <c r="X48" s="25">
        <v>5.264124963882421E-2</v>
      </c>
      <c r="Y48" s="18">
        <v>1.0123317238235425E-3</v>
      </c>
      <c r="Z48" s="15">
        <v>1020.5213340411941</v>
      </c>
      <c r="AA48" s="15">
        <v>47111.737850298763</v>
      </c>
      <c r="AB48" s="60">
        <v>1</v>
      </c>
      <c r="AC48" s="14">
        <v>0</v>
      </c>
      <c r="AD48" s="15">
        <v>0</v>
      </c>
      <c r="AE48" s="29"/>
      <c r="AF48" s="20">
        <v>0</v>
      </c>
      <c r="AG48" s="10">
        <v>0.85</v>
      </c>
      <c r="AH48" s="29"/>
      <c r="AI48" s="20">
        <v>87044.898803341552</v>
      </c>
      <c r="AJ48" s="29"/>
      <c r="AK48" s="20">
        <v>0</v>
      </c>
      <c r="AL48" s="15">
        <v>1020.5213340411941</v>
      </c>
      <c r="AM48" s="15">
        <v>196097.3997758812</v>
      </c>
      <c r="AN48" s="15">
        <v>0</v>
      </c>
      <c r="AO48" s="39">
        <v>1262.3367284325661</v>
      </c>
      <c r="AP48" s="15">
        <v>58067.489507898012</v>
      </c>
      <c r="AQ48" s="34">
        <v>0</v>
      </c>
      <c r="AR48" s="15">
        <v>0</v>
      </c>
      <c r="AS48" s="15">
        <v>86784.41281966478</v>
      </c>
      <c r="AT48" s="34">
        <v>1</v>
      </c>
      <c r="AU48" s="15">
        <v>-241.81539439137202</v>
      </c>
      <c r="AV48" s="15">
        <v>138029.91026798318</v>
      </c>
      <c r="AW48" s="39">
        <v>576.92307692307691</v>
      </c>
      <c r="AX48" s="39">
        <v>195520.47669895814</v>
      </c>
      <c r="AY48" s="15">
        <v>851.56694075453686</v>
      </c>
      <c r="AZ48" s="19">
        <v>0.22</v>
      </c>
      <c r="BA48" s="19">
        <v>0.22</v>
      </c>
      <c r="BB48" s="19">
        <v>0.24</v>
      </c>
    </row>
    <row r="49" spans="1:54" s="21" customFormat="1" ht="18.75" thickBot="1" x14ac:dyDescent="0.4">
      <c r="A49" s="59">
        <v>45991</v>
      </c>
      <c r="B49" s="57">
        <v>79618.823811414492</v>
      </c>
      <c r="C49" s="49">
        <v>7.6079437024289681E-2</v>
      </c>
      <c r="D49" s="29">
        <v>366440.92249177897</v>
      </c>
      <c r="E49" s="49">
        <v>0.35015110436533625</v>
      </c>
      <c r="F49" s="29">
        <v>511974.20964102336</v>
      </c>
      <c r="G49" s="49">
        <v>0.48921483357633549</v>
      </c>
      <c r="H49" s="29">
        <v>88488.296658609412</v>
      </c>
      <c r="I49" s="49">
        <v>8.4554625034038614E-2</v>
      </c>
      <c r="J49" s="14">
        <v>1046522.2526028262</v>
      </c>
      <c r="K49" s="14">
        <v>38432.404161922168</v>
      </c>
      <c r="L49" s="17">
        <v>3.7018448716189728E-2</v>
      </c>
      <c r="M49" s="16">
        <v>52</v>
      </c>
      <c r="N49" s="34">
        <v>5.0000000000000001E-4</v>
      </c>
      <c r="O49" s="25">
        <v>5.2667570263643618E-2</v>
      </c>
      <c r="P49" s="15">
        <v>55117.784271425946</v>
      </c>
      <c r="Q49" s="17">
        <v>3.8643048879494012E-2</v>
      </c>
      <c r="R49" s="34">
        <v>0.2</v>
      </c>
      <c r="S49" s="15">
        <v>61582.847975648619</v>
      </c>
      <c r="T49" s="34">
        <v>-0.2</v>
      </c>
      <c r="U49" s="15">
        <v>41055.231983765741</v>
      </c>
      <c r="V49" s="34">
        <v>0.1</v>
      </c>
      <c r="W49" s="34">
        <v>-0.1</v>
      </c>
      <c r="X49" s="25">
        <v>5.2667570263643618E-2</v>
      </c>
      <c r="Y49" s="18">
        <v>1.0128378896854542E-3</v>
      </c>
      <c r="Z49" s="15">
        <v>1059.9573898351143</v>
      </c>
      <c r="AA49" s="15">
        <v>48171.695240133879</v>
      </c>
      <c r="AB49" s="60">
        <v>1</v>
      </c>
      <c r="AC49" s="14">
        <v>0</v>
      </c>
      <c r="AD49" s="15">
        <v>0</v>
      </c>
      <c r="AE49" s="29"/>
      <c r="AF49" s="20">
        <v>0</v>
      </c>
      <c r="AG49" s="10">
        <v>0.85</v>
      </c>
      <c r="AH49" s="29"/>
      <c r="AI49" s="20">
        <v>87044.898803341552</v>
      </c>
      <c r="AJ49" s="29"/>
      <c r="AK49" s="20">
        <v>0</v>
      </c>
      <c r="AL49" s="15">
        <v>1059.9573898351143</v>
      </c>
      <c r="AM49" s="15">
        <v>197157.35716571633</v>
      </c>
      <c r="AN49" s="15">
        <v>0</v>
      </c>
      <c r="AO49" s="39">
        <v>1262.3367284325661</v>
      </c>
      <c r="AP49" s="15">
        <v>59329.826236330577</v>
      </c>
      <c r="AQ49" s="34">
        <v>0</v>
      </c>
      <c r="AR49" s="15">
        <v>0</v>
      </c>
      <c r="AS49" s="15">
        <v>86784.41281966478</v>
      </c>
      <c r="AT49" s="34">
        <v>1</v>
      </c>
      <c r="AU49" s="15">
        <v>-202.37933859745181</v>
      </c>
      <c r="AV49" s="15">
        <v>137827.53092938574</v>
      </c>
      <c r="AW49" s="39">
        <v>576.92307692307691</v>
      </c>
      <c r="AX49" s="39">
        <v>196580.43408879326</v>
      </c>
      <c r="AY49" s="15">
        <v>851.56694075453686</v>
      </c>
      <c r="AZ49" s="19">
        <v>0.22</v>
      </c>
      <c r="BA49" s="19">
        <v>0.22</v>
      </c>
      <c r="BB49" s="19">
        <v>0.24</v>
      </c>
    </row>
    <row r="50" spans="1:54" s="21" customFormat="1" ht="18.75" thickBot="1" x14ac:dyDescent="0.4">
      <c r="A50" s="59">
        <v>45998</v>
      </c>
      <c r="B50" s="57">
        <v>79793.698947441488</v>
      </c>
      <c r="C50" s="49">
        <v>7.6109073133932323E-2</v>
      </c>
      <c r="D50" s="29">
        <v>366585.38994315738</v>
      </c>
      <c r="E50" s="49">
        <v>0.34965761233092285</v>
      </c>
      <c r="F50" s="29">
        <v>514614.33171433688</v>
      </c>
      <c r="G50" s="49">
        <v>0.49085103617034437</v>
      </c>
      <c r="H50" s="29">
        <v>87419.017778398309</v>
      </c>
      <c r="I50" s="49">
        <v>8.3382278364800402E-2</v>
      </c>
      <c r="J50" s="14">
        <v>1048412.4383833341</v>
      </c>
      <c r="K50" s="14">
        <v>1890.1857805078616</v>
      </c>
      <c r="L50" s="17">
        <v>1.8750171757320969E-3</v>
      </c>
      <c r="M50" s="16">
        <v>52</v>
      </c>
      <c r="N50" s="34">
        <v>8.3333333333333339E-4</v>
      </c>
      <c r="O50" s="25">
        <v>5.271145990552998E-2</v>
      </c>
      <c r="P50" s="15">
        <v>55263.350210302036</v>
      </c>
      <c r="Q50" s="17">
        <v>2.640997652577165E-3</v>
      </c>
      <c r="R50" s="34">
        <v>0.2</v>
      </c>
      <c r="S50" s="15">
        <v>61582.847975648619</v>
      </c>
      <c r="T50" s="34">
        <v>-0.2</v>
      </c>
      <c r="U50" s="15">
        <v>41055.231983765741</v>
      </c>
      <c r="V50" s="34">
        <v>0.1</v>
      </c>
      <c r="W50" s="34">
        <v>-0.1</v>
      </c>
      <c r="X50" s="25">
        <v>5.271145990552998E-2</v>
      </c>
      <c r="Y50" s="18">
        <v>1.0136819212601918E-3</v>
      </c>
      <c r="Z50" s="15">
        <v>1062.7567348135005</v>
      </c>
      <c r="AA50" s="15">
        <v>49234.451974947377</v>
      </c>
      <c r="AB50" s="60">
        <v>1</v>
      </c>
      <c r="AC50" s="14">
        <v>0</v>
      </c>
      <c r="AD50" s="15">
        <v>0</v>
      </c>
      <c r="AE50" s="29"/>
      <c r="AF50" s="20">
        <v>0</v>
      </c>
      <c r="AG50" s="10">
        <v>0.85</v>
      </c>
      <c r="AH50" s="29"/>
      <c r="AI50" s="20">
        <v>87044.898803341552</v>
      </c>
      <c r="AJ50" s="29"/>
      <c r="AK50" s="20">
        <v>0</v>
      </c>
      <c r="AL50" s="15">
        <v>1062.7567348135005</v>
      </c>
      <c r="AM50" s="15">
        <v>198220.11390052983</v>
      </c>
      <c r="AN50" s="15">
        <v>0</v>
      </c>
      <c r="AO50" s="39">
        <v>1262.3367284325661</v>
      </c>
      <c r="AP50" s="15">
        <v>60592.162964763142</v>
      </c>
      <c r="AQ50" s="34">
        <v>0</v>
      </c>
      <c r="AR50" s="15">
        <v>0</v>
      </c>
      <c r="AS50" s="15">
        <v>86784.41281966478</v>
      </c>
      <c r="AT50" s="34">
        <v>1</v>
      </c>
      <c r="AU50" s="15">
        <v>-199.57999361906559</v>
      </c>
      <c r="AV50" s="15">
        <v>137627.95093576668</v>
      </c>
      <c r="AW50" s="39">
        <v>576.92307692307691</v>
      </c>
      <c r="AX50" s="39">
        <v>197643.19082360677</v>
      </c>
      <c r="AY50" s="15">
        <v>851.56694075453686</v>
      </c>
      <c r="AZ50" s="19">
        <v>0.22</v>
      </c>
      <c r="BA50" s="19">
        <v>0.22</v>
      </c>
      <c r="BB50" s="19">
        <v>0.32</v>
      </c>
    </row>
    <row r="51" spans="1:54" s="21" customFormat="1" ht="18.75" thickBot="1" x14ac:dyDescent="0.4">
      <c r="A51" s="59">
        <v>46005</v>
      </c>
      <c r="B51" s="57">
        <v>79043.816815906117</v>
      </c>
      <c r="C51" s="49">
        <v>7.5548031384623571E-2</v>
      </c>
      <c r="D51" s="29">
        <v>365384.46048933396</v>
      </c>
      <c r="E51" s="49">
        <v>0.34922499697594483</v>
      </c>
      <c r="F51" s="29">
        <v>514398.64992975089</v>
      </c>
      <c r="G51" s="49">
        <v>0.49164889696066127</v>
      </c>
      <c r="H51" s="29">
        <v>87445.429135026337</v>
      </c>
      <c r="I51" s="49">
        <v>8.3578074678770362E-2</v>
      </c>
      <c r="J51" s="14">
        <v>1046272.3563700173</v>
      </c>
      <c r="K51" s="14">
        <v>-2140.0820133168017</v>
      </c>
      <c r="L51" s="17">
        <v>-2.0449464958763766E-3</v>
      </c>
      <c r="M51" s="16">
        <v>52</v>
      </c>
      <c r="N51" s="34">
        <v>8.3333333333333339E-4</v>
      </c>
      <c r="O51" s="25">
        <v>5.2755386122117914E-2</v>
      </c>
      <c r="P51" s="15">
        <v>55196.502149198415</v>
      </c>
      <c r="Q51" s="17">
        <v>-1.2096273723767026E-3</v>
      </c>
      <c r="R51" s="34">
        <v>0.2</v>
      </c>
      <c r="S51" s="15">
        <v>61582.847975648619</v>
      </c>
      <c r="T51" s="34">
        <v>-0.2</v>
      </c>
      <c r="U51" s="15">
        <v>41055.231983765741</v>
      </c>
      <c r="V51" s="34">
        <v>0.1</v>
      </c>
      <c r="W51" s="34">
        <v>-0.1</v>
      </c>
      <c r="X51" s="25">
        <v>5.2755386122117914E-2</v>
      </c>
      <c r="Y51" s="18">
        <v>1.0145266561945752E-3</v>
      </c>
      <c r="Z51" s="15">
        <v>1061.4711951768927</v>
      </c>
      <c r="AA51" s="15">
        <v>50295.923170124268</v>
      </c>
      <c r="AB51" s="60">
        <v>1</v>
      </c>
      <c r="AC51" s="14">
        <v>0</v>
      </c>
      <c r="AD51" s="15">
        <v>0</v>
      </c>
      <c r="AE51" s="29"/>
      <c r="AF51" s="20">
        <v>0</v>
      </c>
      <c r="AG51" s="10">
        <v>0.85</v>
      </c>
      <c r="AH51" s="29"/>
      <c r="AI51" s="20">
        <v>87044.898803341552</v>
      </c>
      <c r="AJ51" s="29"/>
      <c r="AK51" s="20">
        <v>0</v>
      </c>
      <c r="AL51" s="15">
        <v>1061.4711951768927</v>
      </c>
      <c r="AM51" s="15">
        <v>199281.58509570672</v>
      </c>
      <c r="AN51" s="15">
        <v>0</v>
      </c>
      <c r="AO51" s="39">
        <v>1262.3367284325661</v>
      </c>
      <c r="AP51" s="15">
        <v>61854.499693195707</v>
      </c>
      <c r="AQ51" s="34">
        <v>0</v>
      </c>
      <c r="AR51" s="15">
        <v>0</v>
      </c>
      <c r="AS51" s="15">
        <v>86784.41281966478</v>
      </c>
      <c r="AT51" s="34">
        <v>1</v>
      </c>
      <c r="AU51" s="15">
        <v>-200.86553325567343</v>
      </c>
      <c r="AV51" s="15">
        <v>137427.085402511</v>
      </c>
      <c r="AW51" s="39">
        <v>576.92307692307691</v>
      </c>
      <c r="AX51" s="39">
        <v>198704.66201878365</v>
      </c>
      <c r="AY51" s="15">
        <v>851.56694075453686</v>
      </c>
      <c r="AZ51" s="19">
        <v>0.22</v>
      </c>
      <c r="BA51" s="19">
        <v>0.22</v>
      </c>
      <c r="BB51" s="19">
        <v>0.32</v>
      </c>
    </row>
    <row r="52" spans="1:54" s="21" customFormat="1" ht="18.75" thickBot="1" x14ac:dyDescent="0.4">
      <c r="A52" s="59">
        <v>46012</v>
      </c>
      <c r="B52" s="57">
        <v>79391.211072699167</v>
      </c>
      <c r="C52" s="49">
        <v>7.5628903301650979E-2</v>
      </c>
      <c r="D52" s="29">
        <v>365611.39621216967</v>
      </c>
      <c r="E52" s="49">
        <v>0.34828526428185774</v>
      </c>
      <c r="F52" s="29">
        <v>514803.63309159223</v>
      </c>
      <c r="G52" s="49">
        <v>0.49040735945910224</v>
      </c>
      <c r="H52" s="29">
        <v>89940.716234055464</v>
      </c>
      <c r="I52" s="49">
        <v>8.567847295738891E-2</v>
      </c>
      <c r="J52" s="14">
        <v>1049746.9566105166</v>
      </c>
      <c r="K52" s="14">
        <v>3474.6002404993633</v>
      </c>
      <c r="L52" s="17">
        <v>3.3201398554666335E-3</v>
      </c>
      <c r="M52" s="16">
        <v>52</v>
      </c>
      <c r="N52" s="34">
        <v>8.3333333333333339E-4</v>
      </c>
      <c r="O52" s="25">
        <v>5.279934894388634E-2</v>
      </c>
      <c r="P52" s="15">
        <v>55425.955864861382</v>
      </c>
      <c r="Q52" s="17">
        <v>4.1570336294634016E-3</v>
      </c>
      <c r="R52" s="34">
        <v>0.2</v>
      </c>
      <c r="S52" s="15">
        <v>61582.847975648619</v>
      </c>
      <c r="T52" s="34">
        <v>-0.2</v>
      </c>
      <c r="U52" s="15">
        <v>41055.231983765741</v>
      </c>
      <c r="V52" s="34">
        <v>0.1</v>
      </c>
      <c r="W52" s="34">
        <v>-0.1</v>
      </c>
      <c r="X52" s="25">
        <v>5.279934894388634E-2</v>
      </c>
      <c r="Y52" s="18">
        <v>1.0153720950747372E-3</v>
      </c>
      <c r="Z52" s="15">
        <v>1065.8837666319496</v>
      </c>
      <c r="AA52" s="15">
        <v>51361.80693675622</v>
      </c>
      <c r="AB52" s="60">
        <v>1</v>
      </c>
      <c r="AC52" s="14">
        <v>0</v>
      </c>
      <c r="AD52" s="15">
        <v>0</v>
      </c>
      <c r="AE52" s="29"/>
      <c r="AF52" s="20">
        <v>0</v>
      </c>
      <c r="AG52" s="10">
        <v>0.85</v>
      </c>
      <c r="AH52" s="29"/>
      <c r="AI52" s="20">
        <v>87044.898803341552</v>
      </c>
      <c r="AJ52" s="29"/>
      <c r="AK52" s="20">
        <v>0</v>
      </c>
      <c r="AL52" s="15">
        <v>1065.8837666319496</v>
      </c>
      <c r="AM52" s="15">
        <v>200347.46886233866</v>
      </c>
      <c r="AN52" s="15">
        <v>0</v>
      </c>
      <c r="AO52" s="39">
        <v>1262.3367284325661</v>
      </c>
      <c r="AP52" s="15">
        <v>63116.836421628272</v>
      </c>
      <c r="AQ52" s="34">
        <v>0</v>
      </c>
      <c r="AR52" s="15">
        <v>0</v>
      </c>
      <c r="AS52" s="15">
        <v>86784.41281966478</v>
      </c>
      <c r="AT52" s="34">
        <v>1</v>
      </c>
      <c r="AU52" s="15">
        <v>-196.45296180061655</v>
      </c>
      <c r="AV52" s="15">
        <v>137230.63244071038</v>
      </c>
      <c r="AW52" s="39">
        <v>576.92307692307691</v>
      </c>
      <c r="AX52" s="39">
        <v>199770.5457854156</v>
      </c>
      <c r="AY52" s="15">
        <v>851.56694075453686</v>
      </c>
      <c r="AZ52" s="19">
        <v>0.22</v>
      </c>
      <c r="BA52" s="19">
        <v>0.22</v>
      </c>
      <c r="BB52" s="19">
        <v>0.32</v>
      </c>
    </row>
    <row r="53" spans="1:54" s="21" customFormat="1" ht="18.75" thickBot="1" x14ac:dyDescent="0.4">
      <c r="A53" s="59">
        <v>46019</v>
      </c>
      <c r="B53" s="57">
        <v>80812.445362400598</v>
      </c>
      <c r="C53" s="49">
        <v>7.6357587024378559E-2</v>
      </c>
      <c r="D53" s="29">
        <v>370553.8442528451</v>
      </c>
      <c r="E53" s="49">
        <v>0.35012673212484169</v>
      </c>
      <c r="F53" s="29">
        <v>520809.07343645411</v>
      </c>
      <c r="G53" s="49">
        <v>0.4920990073951238</v>
      </c>
      <c r="H53" s="29">
        <v>86166.689278997044</v>
      </c>
      <c r="I53" s="49">
        <v>8.1416673455655897E-2</v>
      </c>
      <c r="J53" s="14">
        <v>1058342.052330697</v>
      </c>
      <c r="K53" s="14">
        <v>8595.0957201803103</v>
      </c>
      <c r="L53" s="17">
        <v>8.1982008277525411E-3</v>
      </c>
      <c r="M53" s="16">
        <v>52</v>
      </c>
      <c r="N53" s="34">
        <v>8.3333333333333339E-4</v>
      </c>
      <c r="O53" s="25">
        <v>5.2843348401339571E-2</v>
      </c>
      <c r="P53" s="15">
        <v>55926.337799099776</v>
      </c>
      <c r="Q53" s="17">
        <v>9.0279351331065301E-3</v>
      </c>
      <c r="R53" s="34">
        <v>0.2</v>
      </c>
      <c r="S53" s="15">
        <v>61582.847975648619</v>
      </c>
      <c r="T53" s="34">
        <v>-0.2</v>
      </c>
      <c r="U53" s="15">
        <v>41055.231983765741</v>
      </c>
      <c r="V53" s="34">
        <v>0.1</v>
      </c>
      <c r="W53" s="34">
        <v>-0.1</v>
      </c>
      <c r="X53" s="25">
        <v>5.2843348401339571E-2</v>
      </c>
      <c r="Y53" s="18">
        <v>1.0162182384872995E-3</v>
      </c>
      <c r="Z53" s="15">
        <v>1075.5064961365342</v>
      </c>
      <c r="AA53" s="15">
        <v>52437.313432892755</v>
      </c>
      <c r="AB53" s="60">
        <v>1</v>
      </c>
      <c r="AC53" s="14">
        <v>0</v>
      </c>
      <c r="AD53" s="15">
        <v>0</v>
      </c>
      <c r="AE53" s="29"/>
      <c r="AF53" s="20">
        <v>0</v>
      </c>
      <c r="AG53" s="10">
        <v>0.85</v>
      </c>
      <c r="AH53" s="29"/>
      <c r="AI53" s="20">
        <v>87044.898803341552</v>
      </c>
      <c r="AJ53" s="29"/>
      <c r="AK53" s="20">
        <v>0</v>
      </c>
      <c r="AL53" s="15">
        <v>1075.5064961365342</v>
      </c>
      <c r="AM53" s="15">
        <v>201422.9753584752</v>
      </c>
      <c r="AN53" s="15">
        <v>0</v>
      </c>
      <c r="AO53" s="39">
        <v>1262.3367284325661</v>
      </c>
      <c r="AP53" s="15">
        <v>64379.173150060837</v>
      </c>
      <c r="AQ53" s="34">
        <v>0</v>
      </c>
      <c r="AR53" s="15">
        <v>0</v>
      </c>
      <c r="AS53" s="15">
        <v>86784.41281966478</v>
      </c>
      <c r="AT53" s="34">
        <v>1</v>
      </c>
      <c r="AU53" s="15">
        <v>-186.83023229603191</v>
      </c>
      <c r="AV53" s="15">
        <v>137043.80220841436</v>
      </c>
      <c r="AW53" s="39">
        <v>576.92307692307691</v>
      </c>
      <c r="AX53" s="39">
        <v>200846.05228155214</v>
      </c>
      <c r="AY53" s="15">
        <v>851.56694075453686</v>
      </c>
      <c r="AZ53" s="19">
        <v>0.22</v>
      </c>
      <c r="BA53" s="19">
        <v>0.22</v>
      </c>
      <c r="BB53" s="19">
        <v>0.32</v>
      </c>
    </row>
    <row r="54" spans="1:54" s="21" customFormat="1" ht="18.75" thickBot="1" x14ac:dyDescent="0.4">
      <c r="A54" s="59">
        <v>46022</v>
      </c>
      <c r="B54" s="57">
        <v>80182.615555294804</v>
      </c>
      <c r="C54" s="49">
        <v>7.6418558121063435E-2</v>
      </c>
      <c r="D54" s="29">
        <v>367427.1760131804</v>
      </c>
      <c r="E54" s="49">
        <v>0.35017883628475999</v>
      </c>
      <c r="F54" s="29">
        <v>515483.25644947571</v>
      </c>
      <c r="G54" s="49">
        <v>0.4912846372073485</v>
      </c>
      <c r="H54" s="29">
        <v>86162.754849571138</v>
      </c>
      <c r="I54" s="49">
        <v>8.2117968386828125E-2</v>
      </c>
      <c r="J54" s="14">
        <v>1049255.802867522</v>
      </c>
      <c r="K54" s="14">
        <v>-9086.2494631749578</v>
      </c>
      <c r="L54" s="17">
        <v>-9.1028240733832758E-3</v>
      </c>
      <c r="M54" s="16">
        <v>52</v>
      </c>
      <c r="N54" s="34">
        <v>8.3333333333333339E-4</v>
      </c>
      <c r="O54" s="25">
        <v>5.2887384525007346E-2</v>
      </c>
      <c r="P54" s="15">
        <v>55492.395111349942</v>
      </c>
      <c r="Q54" s="17">
        <v>-7.7591829686516423E-3</v>
      </c>
      <c r="R54" s="34">
        <v>0.2</v>
      </c>
      <c r="S54" s="15">
        <v>61582.847975648619</v>
      </c>
      <c r="T54" s="34">
        <v>-0.2</v>
      </c>
      <c r="U54" s="15">
        <v>41055.231983765741</v>
      </c>
      <c r="V54" s="34">
        <v>0.1</v>
      </c>
      <c r="W54" s="34">
        <v>-0.1</v>
      </c>
      <c r="X54" s="25">
        <v>5.2887384525007346E-2</v>
      </c>
      <c r="Y54" s="18">
        <v>1.0170650870193721E-3</v>
      </c>
      <c r="Z54" s="15">
        <v>1067.1614444490374</v>
      </c>
      <c r="AA54" s="15">
        <v>53504.474877341796</v>
      </c>
      <c r="AB54" s="60">
        <v>1</v>
      </c>
      <c r="AC54" s="23">
        <v>0</v>
      </c>
      <c r="AD54" s="15">
        <v>0</v>
      </c>
      <c r="AE54" s="36"/>
      <c r="AF54" s="20">
        <v>0</v>
      </c>
      <c r="AG54" s="10">
        <v>0.85</v>
      </c>
      <c r="AH54" s="36"/>
      <c r="AI54" s="20">
        <v>87044.898803341552</v>
      </c>
      <c r="AJ54" s="36"/>
      <c r="AK54" s="20">
        <v>0</v>
      </c>
      <c r="AL54" s="15">
        <v>1067.1614444490374</v>
      </c>
      <c r="AM54" s="15">
        <v>202490.13680292424</v>
      </c>
      <c r="AN54" s="15">
        <v>0</v>
      </c>
      <c r="AO54" s="39">
        <v>1262.3367284325661</v>
      </c>
      <c r="AP54" s="15">
        <v>65641.509878493409</v>
      </c>
      <c r="AQ54" s="34">
        <v>0</v>
      </c>
      <c r="AR54" s="15">
        <v>0</v>
      </c>
      <c r="AS54" s="15">
        <v>86784.41281966478</v>
      </c>
      <c r="AT54" s="34">
        <v>0</v>
      </c>
      <c r="AU54" s="15">
        <v>0</v>
      </c>
      <c r="AV54" s="15">
        <v>137043.80220841436</v>
      </c>
      <c r="AW54" s="39">
        <v>576.92307692307691</v>
      </c>
      <c r="AX54" s="39">
        <v>201913.21372600118</v>
      </c>
      <c r="AY54" s="15">
        <v>851.56694075453686</v>
      </c>
      <c r="AZ54" s="19">
        <v>0.22</v>
      </c>
      <c r="BA54" s="19">
        <v>0.22</v>
      </c>
      <c r="BB54" s="19">
        <v>0.32</v>
      </c>
    </row>
    <row r="55" spans="1:54" s="21" customFormat="1" ht="18.75" thickBot="1" x14ac:dyDescent="0.4">
      <c r="A55" s="38" t="s">
        <v>13</v>
      </c>
      <c r="B55" s="53"/>
      <c r="C55" s="52"/>
      <c r="D55" s="53"/>
      <c r="E55" s="52"/>
      <c r="F55" s="53"/>
      <c r="G55" s="52"/>
      <c r="H55" s="53"/>
      <c r="I55" s="52"/>
      <c r="J55" s="27">
        <v>1058342.052330697</v>
      </c>
      <c r="L55" s="72">
        <v>5.486298417827893E-2</v>
      </c>
      <c r="M55" s="61" t="s">
        <v>103</v>
      </c>
      <c r="N55" s="71">
        <v>2.9866666666666659E-2</v>
      </c>
      <c r="Y55" s="72">
        <v>5.3085595557691018E-2</v>
      </c>
      <c r="Z55" s="27">
        <v>53504.474877341796</v>
      </c>
      <c r="AC55" s="27">
        <v>0</v>
      </c>
      <c r="AE55" s="27">
        <v>0</v>
      </c>
      <c r="AH55" s="27">
        <v>87044.898803341552</v>
      </c>
      <c r="AJ55" s="27">
        <v>61940.763122240947</v>
      </c>
      <c r="AL55" s="27">
        <v>202490.13680292424</v>
      </c>
      <c r="AO55" s="27">
        <v>65641.509878493438</v>
      </c>
      <c r="AR55" s="27">
        <v>86784.41281966478</v>
      </c>
      <c r="AU55" s="27">
        <v>137043.80220841436</v>
      </c>
      <c r="AW55" s="27">
        <v>30000</v>
      </c>
      <c r="AY55" s="27">
        <v>44281.480919235917</v>
      </c>
    </row>
    <row r="56" spans="1:54" s="21" customFormat="1" ht="18.75" thickBot="1" x14ac:dyDescent="0.4">
      <c r="A56" s="67"/>
      <c r="B56" s="53"/>
      <c r="C56" s="52"/>
      <c r="D56" s="53"/>
      <c r="E56" s="52"/>
      <c r="F56" s="53"/>
      <c r="G56" s="52"/>
      <c r="H56" s="53"/>
      <c r="I56" s="52"/>
      <c r="J56" s="68"/>
      <c r="M56" s="61" t="s">
        <v>104</v>
      </c>
      <c r="N56" s="71"/>
      <c r="AY56" s="24"/>
    </row>
    <row r="57" spans="1:54" s="21" customFormat="1" ht="36.75" thickBot="1" x14ac:dyDescent="0.4">
      <c r="B57" s="31" t="s">
        <v>106</v>
      </c>
      <c r="C57" s="31" t="s">
        <v>107</v>
      </c>
      <c r="D57" s="31" t="s">
        <v>108</v>
      </c>
      <c r="E57" s="31" t="s">
        <v>109</v>
      </c>
      <c r="F57" s="31" t="s">
        <v>110</v>
      </c>
      <c r="G57" s="31" t="s">
        <v>111</v>
      </c>
      <c r="H57" s="31" t="s">
        <v>112</v>
      </c>
      <c r="I57" s="31" t="s">
        <v>113</v>
      </c>
      <c r="J57" s="31" t="s">
        <v>114</v>
      </c>
      <c r="K57" s="64"/>
      <c r="L57" s="48" t="s">
        <v>76</v>
      </c>
      <c r="P57" s="54"/>
      <c r="R57" s="48" t="s">
        <v>100</v>
      </c>
      <c r="U57" s="48" t="s">
        <v>130</v>
      </c>
      <c r="AC57" s="81" t="s">
        <v>91</v>
      </c>
      <c r="AD57" s="31" t="s">
        <v>121</v>
      </c>
      <c r="AH57" s="75" t="s">
        <v>12</v>
      </c>
      <c r="AJ57" s="75" t="s">
        <v>135</v>
      </c>
    </row>
    <row r="58" spans="1:54" s="77" customFormat="1" ht="54.75" thickBot="1" x14ac:dyDescent="0.4">
      <c r="A58" s="75" t="s">
        <v>105</v>
      </c>
      <c r="B58" s="62">
        <v>0.2404</v>
      </c>
      <c r="C58" s="63">
        <v>7.6357587024378573E-2</v>
      </c>
      <c r="D58" s="62">
        <v>0.18190000000000001</v>
      </c>
      <c r="E58" s="63">
        <v>0.35012673212484169</v>
      </c>
      <c r="F58" s="62">
        <v>0.1956</v>
      </c>
      <c r="G58" s="63">
        <v>0.4920990073951238</v>
      </c>
      <c r="H58" s="62">
        <v>3.8541666666666599E-2</v>
      </c>
      <c r="I58" s="63">
        <v>8.1416673455655911E-2</v>
      </c>
      <c r="J58" s="65">
        <v>0.18143691663009229</v>
      </c>
      <c r="K58" s="64"/>
      <c r="L58" s="76">
        <v>1000000</v>
      </c>
      <c r="P58" s="78"/>
      <c r="Q58" s="79" t="s">
        <v>115</v>
      </c>
      <c r="R58" s="80">
        <v>3.7986101885566281E-2</v>
      </c>
      <c r="U58" s="80">
        <v>0.52666380659526413</v>
      </c>
      <c r="AC58" s="44">
        <v>41535.504511653169</v>
      </c>
      <c r="AD58" s="45" t="s">
        <v>92</v>
      </c>
      <c r="AH58" s="80">
        <v>5.0372034413636607E-2</v>
      </c>
      <c r="AJ58" s="82">
        <v>32963.168131013328</v>
      </c>
    </row>
    <row r="59" spans="1:54" s="21" customFormat="1" ht="18.75" thickBot="1" x14ac:dyDescent="0.4">
      <c r="A59" s="1"/>
      <c r="B59" s="53"/>
      <c r="C59" s="52"/>
      <c r="D59" s="69"/>
      <c r="F59" s="66"/>
      <c r="H59" s="43"/>
      <c r="I59" s="52"/>
      <c r="J59" s="52"/>
      <c r="K59" s="52"/>
      <c r="L59" s="47">
        <v>1</v>
      </c>
      <c r="M59" s="47" t="s">
        <v>77</v>
      </c>
      <c r="P59" s="54"/>
      <c r="Q59" s="47" t="s">
        <v>101</v>
      </c>
      <c r="R59" s="72">
        <v>2.5625261346905216E-2</v>
      </c>
      <c r="V59" s="70"/>
      <c r="AC59" s="14">
        <v>51516.652907769661</v>
      </c>
      <c r="AD59" s="46" t="s">
        <v>93</v>
      </c>
      <c r="AJ59" s="80">
        <v>1.9075464068598023E-2</v>
      </c>
    </row>
    <row r="60" spans="1:54" s="21" customFormat="1" ht="18.75" thickBot="1" x14ac:dyDescent="0.4">
      <c r="A60" s="1"/>
      <c r="B60" s="53"/>
      <c r="C60" s="52"/>
      <c r="D60" s="69"/>
      <c r="F60" s="43"/>
      <c r="I60" s="52"/>
      <c r="K60" s="52"/>
      <c r="L60" s="47">
        <v>1</v>
      </c>
      <c r="M60" s="47" t="s">
        <v>78</v>
      </c>
      <c r="P60" s="54"/>
      <c r="Q60" s="47" t="s">
        <v>102</v>
      </c>
      <c r="R60" s="72">
        <v>6.3611363232471491E-2</v>
      </c>
      <c r="AC60" s="14">
        <v>40091.719790168405</v>
      </c>
      <c r="AD60" s="46" t="s">
        <v>90</v>
      </c>
    </row>
    <row r="61" spans="1:54" s="21" customFormat="1" ht="18" x14ac:dyDescent="0.35">
      <c r="A61" s="1"/>
      <c r="B61" s="53"/>
      <c r="C61" s="52"/>
      <c r="D61" s="43"/>
      <c r="F61" s="69"/>
      <c r="H61" s="43"/>
      <c r="I61" s="52"/>
      <c r="N61" s="54"/>
      <c r="AC61" s="14">
        <v>47306.001002989353</v>
      </c>
      <c r="AD61" s="46" t="s">
        <v>94</v>
      </c>
    </row>
    <row r="62" spans="1:54" s="21" customFormat="1" ht="18" x14ac:dyDescent="0.35">
      <c r="A62" s="1"/>
      <c r="B62" s="53"/>
      <c r="C62" s="52"/>
      <c r="D62" s="43"/>
      <c r="E62" s="43"/>
      <c r="F62" s="43"/>
      <c r="G62" s="43"/>
      <c r="I62" s="52"/>
      <c r="N62" s="54"/>
      <c r="AC62" s="14">
        <v>48107.092615656271</v>
      </c>
      <c r="AD62" s="46" t="s">
        <v>99</v>
      </c>
    </row>
    <row r="63" spans="1:54" s="21" customFormat="1" ht="18" x14ac:dyDescent="0.35">
      <c r="A63" s="1"/>
      <c r="B63" s="53"/>
      <c r="C63" s="52"/>
      <c r="E63" s="52"/>
      <c r="G63" s="52"/>
      <c r="H63" s="53"/>
      <c r="I63" s="52"/>
      <c r="AC63" s="14">
        <v>669698.11552436487</v>
      </c>
      <c r="AD63" s="46" t="s">
        <v>99</v>
      </c>
    </row>
    <row r="64" spans="1:54" s="21" customFormat="1" ht="18" x14ac:dyDescent="0.35">
      <c r="A64" s="1"/>
      <c r="F64" s="53"/>
    </row>
    <row r="89" spans="2:19" ht="18" x14ac:dyDescent="0.35">
      <c r="B89" s="50" t="s">
        <v>79</v>
      </c>
      <c r="J89" s="50" t="s">
        <v>80</v>
      </c>
      <c r="S89" s="50" t="s">
        <v>81</v>
      </c>
    </row>
  </sheetData>
  <conditionalFormatting sqref="BA2:BB54">
    <cfRule type="cellIs" dxfId="3" priority="1" operator="greaterThan">
      <formula>$AZ$2</formula>
    </cfRule>
    <cfRule type="cellIs" dxfId="2" priority="2" operator="greaterThan">
      <formula>"2$AS$2"</formula>
    </cfRule>
  </conditionalFormatting>
  <pageMargins left="0.75" right="0.75" top="0.75" bottom="0.5" header="0.5" footer="0.75"/>
  <pageSetup orientation="portrait" r:id="rId1"/>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3E137D-AC1B-4F3B-BC46-9F6F21E83B1E}">
  <sheetPr>
    <tabColor rgb="FF00B050"/>
  </sheetPr>
  <dimension ref="A1:BF89"/>
  <sheetViews>
    <sheetView workbookViewId="0">
      <pane xSplit="1" ySplit="1" topLeftCell="B2" activePane="bottomRight" state="frozen"/>
      <selection pane="topRight" activeCell="B1" sqref="B1"/>
      <selection pane="bottomLeft" activeCell="A2" sqref="A2"/>
      <selection pane="bottomRight" activeCell="H2" sqref="H2"/>
    </sheetView>
  </sheetViews>
  <sheetFormatPr defaultColWidth="13.28515625" defaultRowHeight="16.5" x14ac:dyDescent="0.3"/>
  <cols>
    <col min="1" max="1" width="14" style="1" bestFit="1" customWidth="1"/>
    <col min="2" max="2" width="16.85546875" style="21" bestFit="1" customWidth="1"/>
    <col min="3" max="3" width="11.7109375" style="21" bestFit="1" customWidth="1"/>
    <col min="4" max="4" width="16.85546875" style="21" bestFit="1" customWidth="1"/>
    <col min="5" max="5" width="12.5703125" style="21" bestFit="1" customWidth="1"/>
    <col min="6" max="6" width="19.28515625" style="21" bestFit="1" customWidth="1"/>
    <col min="7" max="7" width="15.7109375" style="21" bestFit="1" customWidth="1"/>
    <col min="8" max="8" width="16.85546875" style="21" bestFit="1" customWidth="1"/>
    <col min="9" max="9" width="10.140625" style="21" bestFit="1" customWidth="1"/>
    <col min="10" max="10" width="19.42578125" style="21" customWidth="1"/>
    <col min="11" max="11" width="17.85546875" style="21" bestFit="1" customWidth="1"/>
    <col min="12" max="12" width="19.28515625" style="21" bestFit="1" customWidth="1"/>
    <col min="13" max="13" width="11.7109375" style="21" bestFit="1" customWidth="1"/>
    <col min="14" max="14" width="9.140625" style="21" bestFit="1" customWidth="1"/>
    <col min="15" max="15" width="13" style="21" bestFit="1" customWidth="1"/>
    <col min="16" max="16" width="17.140625" style="21" bestFit="1" customWidth="1"/>
    <col min="17" max="18" width="13" style="21" customWidth="1"/>
    <col min="19" max="19" width="16.85546875" style="21" bestFit="1" customWidth="1"/>
    <col min="20" max="20" width="10.140625" style="21" bestFit="1" customWidth="1"/>
    <col min="21" max="21" width="16.85546875" style="21" bestFit="1" customWidth="1"/>
    <col min="22" max="22" width="11.140625" style="21" customWidth="1"/>
    <col min="23" max="23" width="11" style="21" bestFit="1" customWidth="1"/>
    <col min="24" max="25" width="13.140625" style="21" bestFit="1" customWidth="1"/>
    <col min="26" max="27" width="16.85546875" style="21" bestFit="1" customWidth="1"/>
    <col min="28" max="28" width="10.5703125" style="21" customWidth="1"/>
    <col min="29" max="29" width="20.140625" style="21" bestFit="1" customWidth="1"/>
    <col min="30" max="30" width="22.140625" style="21" bestFit="1" customWidth="1"/>
    <col min="31" max="32" width="9.85546875" style="21" bestFit="1" customWidth="1"/>
    <col min="33" max="33" width="10.5703125" style="21" customWidth="1"/>
    <col min="34" max="42" width="16.85546875" style="21" bestFit="1" customWidth="1"/>
    <col min="43" max="43" width="11.7109375" style="21" bestFit="1" customWidth="1"/>
    <col min="44" max="45" width="16.85546875" style="21" bestFit="1" customWidth="1"/>
    <col min="46" max="46" width="10.140625" style="21" bestFit="1" customWidth="1"/>
    <col min="47" max="48" width="16.85546875" style="21" bestFit="1" customWidth="1"/>
    <col min="49" max="49" width="15.5703125" style="21" bestFit="1" customWidth="1"/>
    <col min="50" max="51" width="16.85546875" style="21" bestFit="1" customWidth="1"/>
    <col min="52" max="52" width="8.140625" style="21" bestFit="1" customWidth="1"/>
    <col min="53" max="54" width="5.5703125" style="21" bestFit="1" customWidth="1"/>
    <col min="55" max="55" width="13.28515625" style="21"/>
    <col min="56" max="56" width="6.140625" style="21" bestFit="1" customWidth="1"/>
    <col min="57" max="57" width="15.7109375" style="21" bestFit="1" customWidth="1"/>
    <col min="58" max="58" width="13.7109375" style="21" bestFit="1" customWidth="1"/>
    <col min="59" max="59" width="23.85546875" style="1" bestFit="1" customWidth="1"/>
    <col min="60" max="16384" width="13.28515625" style="1"/>
  </cols>
  <sheetData>
    <row r="1" spans="1:58" s="2" customFormat="1" ht="54.75" thickBot="1" x14ac:dyDescent="0.35">
      <c r="A1" s="3" t="s">
        <v>5</v>
      </c>
      <c r="B1" s="55" t="s">
        <v>1</v>
      </c>
      <c r="C1" s="31" t="s">
        <v>1</v>
      </c>
      <c r="D1" s="31" t="s">
        <v>4</v>
      </c>
      <c r="E1" s="31" t="s">
        <v>4</v>
      </c>
      <c r="F1" s="31" t="s">
        <v>3</v>
      </c>
      <c r="G1" s="31" t="s">
        <v>3</v>
      </c>
      <c r="H1" s="31" t="s">
        <v>0</v>
      </c>
      <c r="I1" s="31" t="s">
        <v>0</v>
      </c>
      <c r="J1" s="3" t="s">
        <v>9</v>
      </c>
      <c r="K1" s="3" t="s">
        <v>11</v>
      </c>
      <c r="L1" s="3" t="s">
        <v>11</v>
      </c>
      <c r="M1" s="3" t="s">
        <v>30</v>
      </c>
      <c r="N1" s="3" t="s">
        <v>23</v>
      </c>
      <c r="O1" s="31" t="s">
        <v>15</v>
      </c>
      <c r="P1" s="3" t="s">
        <v>15</v>
      </c>
      <c r="Q1" s="3" t="s">
        <v>27</v>
      </c>
      <c r="R1" s="3" t="s">
        <v>16</v>
      </c>
      <c r="S1" s="3" t="s">
        <v>16</v>
      </c>
      <c r="T1" s="3" t="s">
        <v>17</v>
      </c>
      <c r="U1" s="3" t="s">
        <v>19</v>
      </c>
      <c r="V1" s="3" t="s">
        <v>29</v>
      </c>
      <c r="W1" s="3" t="s">
        <v>28</v>
      </c>
      <c r="X1" s="3" t="s">
        <v>18</v>
      </c>
      <c r="Y1" s="3" t="s">
        <v>31</v>
      </c>
      <c r="Z1" s="3" t="s">
        <v>10</v>
      </c>
      <c r="AA1" s="3" t="s">
        <v>26</v>
      </c>
      <c r="AB1" s="3" t="s">
        <v>73</v>
      </c>
      <c r="AC1" s="3" t="s">
        <v>2</v>
      </c>
      <c r="AD1" s="3" t="s">
        <v>24</v>
      </c>
      <c r="AE1" s="3" t="s">
        <v>8</v>
      </c>
      <c r="AF1" s="3" t="s">
        <v>34</v>
      </c>
      <c r="AG1" s="3" t="s">
        <v>74</v>
      </c>
      <c r="AH1" s="3" t="s">
        <v>12</v>
      </c>
      <c r="AI1" s="3" t="s">
        <v>35</v>
      </c>
      <c r="AJ1" s="3" t="s">
        <v>36</v>
      </c>
      <c r="AK1" s="3" t="s">
        <v>36</v>
      </c>
      <c r="AL1" s="3" t="s">
        <v>58</v>
      </c>
      <c r="AM1" s="3" t="s">
        <v>32</v>
      </c>
      <c r="AN1" s="3" t="s">
        <v>75</v>
      </c>
      <c r="AO1" s="3" t="s">
        <v>72</v>
      </c>
      <c r="AP1" s="3" t="s">
        <v>71</v>
      </c>
      <c r="AQ1" s="3" t="s">
        <v>7</v>
      </c>
      <c r="AR1" s="3" t="s">
        <v>7</v>
      </c>
      <c r="AS1" s="3" t="s">
        <v>25</v>
      </c>
      <c r="AT1" s="3" t="s">
        <v>38</v>
      </c>
      <c r="AU1" s="3" t="s">
        <v>38</v>
      </c>
      <c r="AV1" s="3" t="s">
        <v>39</v>
      </c>
      <c r="AW1" s="3" t="s">
        <v>37</v>
      </c>
      <c r="AX1" s="3" t="s">
        <v>33</v>
      </c>
      <c r="AY1" s="3" t="s">
        <v>142</v>
      </c>
      <c r="AZ1" s="3" t="s">
        <v>6</v>
      </c>
      <c r="BA1" s="3" t="s">
        <v>21</v>
      </c>
      <c r="BB1" s="3" t="s">
        <v>22</v>
      </c>
      <c r="BC1" s="5"/>
      <c r="BD1" s="3" t="s">
        <v>14</v>
      </c>
      <c r="BE1" s="3" t="s">
        <v>20</v>
      </c>
      <c r="BF1" s="3" t="s">
        <v>128</v>
      </c>
    </row>
    <row r="2" spans="1:58" s="4" customFormat="1" ht="18.75" thickBot="1" x14ac:dyDescent="0.4">
      <c r="A2" s="58">
        <v>46025</v>
      </c>
      <c r="B2" s="56"/>
      <c r="C2" s="49">
        <f>IF(J2&lt;=0,0,B2/J2)</f>
        <v>0</v>
      </c>
      <c r="D2" s="51"/>
      <c r="E2" s="49">
        <f>IF(J2&lt;=0,0,D2/J2)</f>
        <v>0</v>
      </c>
      <c r="F2" s="51"/>
      <c r="G2" s="49">
        <f>IF(J2&lt;=0,0,F2/J2)</f>
        <v>0</v>
      </c>
      <c r="H2" s="51"/>
      <c r="I2" s="49">
        <f>IF(J2&lt;=0,0,H2/J2)</f>
        <v>0</v>
      </c>
      <c r="J2" s="8">
        <f>B2+D2+F2+H2</f>
        <v>0</v>
      </c>
      <c r="K2" s="6">
        <v>0</v>
      </c>
      <c r="L2" s="7">
        <v>0</v>
      </c>
      <c r="M2" s="37">
        <v>52</v>
      </c>
      <c r="N2" s="33">
        <f>0.1%/5</f>
        <v>2.0000000000000001E-4</v>
      </c>
      <c r="O2" s="32">
        <v>5.131903997970718E-2</v>
      </c>
      <c r="P2" s="8">
        <f t="shared" ref="P2:P54" si="0">J2*O2</f>
        <v>0</v>
      </c>
      <c r="Q2" s="7">
        <v>0</v>
      </c>
      <c r="R2" s="33">
        <v>0.2</v>
      </c>
      <c r="S2" s="8" t="b">
        <f>IF($P$2&gt;0,$P$2+$P$2*R2)</f>
        <v>0</v>
      </c>
      <c r="T2" s="33">
        <v>-0.2</v>
      </c>
      <c r="U2" s="8" t="b">
        <f>IF($P$2&gt;0,$P$2+$P$2*T2)</f>
        <v>0</v>
      </c>
      <c r="V2" s="33">
        <v>0.1</v>
      </c>
      <c r="W2" s="33">
        <v>-0.1</v>
      </c>
      <c r="X2" s="26">
        <f>O2</f>
        <v>5.131903997970718E-2</v>
      </c>
      <c r="Y2" s="9">
        <f t="shared" ref="Y2:Y54" si="1">X2/M2</f>
        <v>9.8690461499436884E-4</v>
      </c>
      <c r="Z2" s="8">
        <f t="shared" ref="Z2:Z54" si="2">Y2*J2</f>
        <v>0</v>
      </c>
      <c r="AA2" s="8">
        <f>Z2</f>
        <v>0</v>
      </c>
      <c r="AB2" s="10">
        <v>1</v>
      </c>
      <c r="AC2" s="28">
        <v>0</v>
      </c>
      <c r="AD2" s="8">
        <f>AC2</f>
        <v>0</v>
      </c>
      <c r="AE2" s="28"/>
      <c r="AF2" s="11">
        <f>AE2</f>
        <v>0</v>
      </c>
      <c r="AG2" s="10">
        <v>0.85</v>
      </c>
      <c r="AH2" s="28"/>
      <c r="AI2" s="11">
        <f>AH2</f>
        <v>0</v>
      </c>
      <c r="AJ2" s="28"/>
      <c r="AK2" s="11">
        <f>AJ2</f>
        <v>0</v>
      </c>
      <c r="AL2" s="8">
        <f>Z2+AC2+AE2+AH2+AJ2</f>
        <v>0</v>
      </c>
      <c r="AM2" s="8">
        <f>AL2</f>
        <v>0</v>
      </c>
      <c r="AN2" s="8">
        <v>0</v>
      </c>
      <c r="AO2" s="8">
        <v>0</v>
      </c>
      <c r="AP2" s="8">
        <f>AO2</f>
        <v>0</v>
      </c>
      <c r="AQ2" s="33">
        <v>0</v>
      </c>
      <c r="AR2" s="8">
        <f t="shared" ref="AR2:AR54" si="3">(AL2-AO2)*AQ2</f>
        <v>0</v>
      </c>
      <c r="AS2" s="8">
        <f>AR2</f>
        <v>0</v>
      </c>
      <c r="AT2" s="33">
        <v>1</v>
      </c>
      <c r="AU2" s="8">
        <f t="shared" ref="AU2:AU54" si="4">(AL2-AO2)*AT2</f>
        <v>0</v>
      </c>
      <c r="AV2" s="8">
        <f>AU2</f>
        <v>0</v>
      </c>
      <c r="AW2" s="39">
        <f t="shared" ref="AW2:AW54" si="5">$AW$55/M2</f>
        <v>576.92307692307691</v>
      </c>
      <c r="AX2" s="8">
        <f>AM2-AW2</f>
        <v>-576.92307692307691</v>
      </c>
      <c r="AY2" s="15">
        <f t="shared" ref="AY2:AY53" si="6">$AY$55/M2</f>
        <v>0</v>
      </c>
      <c r="AZ2" s="35">
        <v>0.22</v>
      </c>
      <c r="BA2" s="10">
        <f t="shared" ref="BA2:BA54" si="7">IF(AX2&lt;$BE$2,0,IF(AX2&lt;$BE$3,$BD$2,IF(AX2&lt;$BE$4,$BD$3,IF(AX2&lt;$BE$5,$BD$4,IF(AX2&lt;$BE$6,$BD$5,IF(AX2&lt;$BE$7,$BD$6,IF(AX2&lt;$BE$8,$BD$7,$BD$8)))))))</f>
        <v>0</v>
      </c>
      <c r="BB2" s="10">
        <f>IF(AX2&lt;$BF$2,0,IF(AX2&lt;$BF$3,$BD$2,IF(AX2&lt;$BF$4,$BD$3,IF(AX2&lt;$BF$5,$BD$4,IF(AX2&lt;$BF$6,$BD$5,IF(AX2&lt;$BF$7,$BD$6,IF(AX2&lt;$BF$8,$BD$7,$BD$8)))))))</f>
        <v>0</v>
      </c>
      <c r="BC2" s="12"/>
      <c r="BD2" s="10">
        <v>0.1</v>
      </c>
      <c r="BE2" s="13">
        <v>0</v>
      </c>
      <c r="BF2" s="13">
        <v>0</v>
      </c>
    </row>
    <row r="3" spans="1:58" ht="18.75" thickBot="1" x14ac:dyDescent="0.4">
      <c r="A3" s="59">
        <f>A2+FLOOR(365/$M$2,1)</f>
        <v>46032</v>
      </c>
      <c r="B3" s="56"/>
      <c r="C3" s="49">
        <f>IF(J3&lt;=0,0,B3/J3)</f>
        <v>0</v>
      </c>
      <c r="D3" s="51"/>
      <c r="E3" s="49">
        <f>IF(J3&lt;=0,0,D3/J3)</f>
        <v>0</v>
      </c>
      <c r="F3" s="51"/>
      <c r="G3" s="49">
        <f>IF(J3&lt;=0,0,F3/J3)</f>
        <v>0</v>
      </c>
      <c r="H3" s="51"/>
      <c r="I3" s="49">
        <f>IF(J3&lt;=0,0,H3/J3)</f>
        <v>0</v>
      </c>
      <c r="J3" s="14">
        <f t="shared" ref="J3:J54" si="8">B3+D3+F3+H3</f>
        <v>0</v>
      </c>
      <c r="K3" s="14">
        <f>IF(J3=0,0,J3-J2)</f>
        <v>0</v>
      </c>
      <c r="L3" s="17">
        <f>IF(J3=0,0,K3/J2)</f>
        <v>0</v>
      </c>
      <c r="M3" s="16">
        <f>M2</f>
        <v>52</v>
      </c>
      <c r="N3" s="34"/>
      <c r="O3" s="25">
        <f t="shared" ref="O3:O54" si="9">IF(J3=0,0,X2*(1+N3))</f>
        <v>0</v>
      </c>
      <c r="P3" s="15">
        <f t="shared" si="0"/>
        <v>0</v>
      </c>
      <c r="Q3" s="17">
        <f>IF(P3=0,0,(P3-P2)/P2)</f>
        <v>0</v>
      </c>
      <c r="R3" s="34">
        <f>R2</f>
        <v>0.2</v>
      </c>
      <c r="S3" s="15" t="b">
        <f t="shared" ref="S3:U54" si="10">IF($P$2&gt;0,$P$2+$P$2*R3)</f>
        <v>0</v>
      </c>
      <c r="T3" s="34">
        <f t="shared" ref="T3:W18" si="11">T2</f>
        <v>-0.2</v>
      </c>
      <c r="U3" s="15" t="b">
        <f t="shared" si="10"/>
        <v>0</v>
      </c>
      <c r="V3" s="34">
        <f t="shared" si="11"/>
        <v>0.1</v>
      </c>
      <c r="W3" s="34">
        <f t="shared" si="11"/>
        <v>-0.1</v>
      </c>
      <c r="X3" s="25">
        <f>IF(P3&gt;S3,O3+O3*V3,IF(P3&lt;U3,O3+O3*W3,O3))</f>
        <v>0</v>
      </c>
      <c r="Y3" s="18">
        <f t="shared" si="1"/>
        <v>0</v>
      </c>
      <c r="Z3" s="15">
        <f t="shared" si="2"/>
        <v>0</v>
      </c>
      <c r="AA3" s="15">
        <f>AA2+Z3</f>
        <v>0</v>
      </c>
      <c r="AB3" s="60">
        <v>1</v>
      </c>
      <c r="AC3" s="14">
        <f>AC2</f>
        <v>0</v>
      </c>
      <c r="AD3" s="15">
        <f>AD2+AC3</f>
        <v>0</v>
      </c>
      <c r="AE3" s="29"/>
      <c r="AF3" s="20">
        <f t="shared" ref="AF3:AF26" si="12">AF2+AE3</f>
        <v>0</v>
      </c>
      <c r="AG3" s="10">
        <v>0.85</v>
      </c>
      <c r="AH3" s="29"/>
      <c r="AI3" s="20">
        <f t="shared" ref="AI3:AI26" si="13">AI2+AH3</f>
        <v>0</v>
      </c>
      <c r="AJ3" s="29"/>
      <c r="AK3" s="20">
        <f t="shared" ref="AK3:AK26" si="14">AK2+AJ3</f>
        <v>0</v>
      </c>
      <c r="AL3" s="15">
        <f>Z3+AC3+AE3+AH3+AJ3</f>
        <v>0</v>
      </c>
      <c r="AM3" s="15">
        <f t="shared" ref="AM3:AM54" si="15">AM2+AL3</f>
        <v>0</v>
      </c>
      <c r="AN3" s="15">
        <v>0</v>
      </c>
      <c r="AO3" s="39">
        <f t="shared" ref="AO3:AO53" si="16">$AO$55/M3</f>
        <v>0</v>
      </c>
      <c r="AP3" s="15">
        <f>AP2+AO3</f>
        <v>0</v>
      </c>
      <c r="AQ3" s="34">
        <v>0</v>
      </c>
      <c r="AR3" s="15">
        <f t="shared" si="3"/>
        <v>0</v>
      </c>
      <c r="AS3" s="15">
        <f t="shared" ref="AS3:AS54" si="17">AS2+AR3</f>
        <v>0</v>
      </c>
      <c r="AT3" s="34">
        <v>1</v>
      </c>
      <c r="AU3" s="15">
        <f t="shared" si="4"/>
        <v>0</v>
      </c>
      <c r="AV3" s="15">
        <f>AV2+AU3</f>
        <v>0</v>
      </c>
      <c r="AW3" s="39">
        <f t="shared" si="5"/>
        <v>576.92307692307691</v>
      </c>
      <c r="AX3" s="39">
        <f t="shared" ref="AX3:AX54" si="18">AM3-AW3</f>
        <v>-576.92307692307691</v>
      </c>
      <c r="AY3" s="15">
        <f t="shared" si="6"/>
        <v>0</v>
      </c>
      <c r="AZ3" s="19">
        <f>AZ2</f>
        <v>0.22</v>
      </c>
      <c r="BA3" s="19">
        <f t="shared" si="7"/>
        <v>0</v>
      </c>
      <c r="BB3" s="19">
        <f t="shared" ref="BB3:BB54" si="19">IF(AX3&lt;$BF$2,0,IF(AX3&lt;$BF$3,$BD$2,IF(AX3&lt;$BF$4,$BD$3,IF(AX3&lt;$BF$5,$BD$4,IF(AX3&lt;$BF$6,$BD$5,IF(AX3&lt;$BF$7,$BD$6,IF(AX3&lt;$BF$8,$BD$7,$BD$8)))))))</f>
        <v>0</v>
      </c>
      <c r="BD3" s="19">
        <v>0.12</v>
      </c>
      <c r="BE3" s="22">
        <v>24800</v>
      </c>
      <c r="BF3" s="22">
        <v>17700</v>
      </c>
    </row>
    <row r="4" spans="1:58" ht="18.75" thickBot="1" x14ac:dyDescent="0.4">
      <c r="A4" s="59">
        <f t="shared" ref="A4:A53" si="20">A3+FLOOR(365/$M$2,1)</f>
        <v>46039</v>
      </c>
      <c r="B4" s="57"/>
      <c r="C4" s="49">
        <f t="shared" ref="C4:C54" si="21">IF(J4&lt;=0,0,B4/J4)</f>
        <v>0</v>
      </c>
      <c r="D4" s="29"/>
      <c r="E4" s="49">
        <f t="shared" ref="E4:E54" si="22">IF(J4&lt;=0,0,D4/J4)</f>
        <v>0</v>
      </c>
      <c r="F4" s="29"/>
      <c r="G4" s="49">
        <f t="shared" ref="G4:G54" si="23">IF(J4&lt;=0,0,F4/J4)</f>
        <v>0</v>
      </c>
      <c r="H4" s="30"/>
      <c r="I4" s="49">
        <f t="shared" ref="I4:I54" si="24">IF(J4&lt;=0,0,H4/J4)</f>
        <v>0</v>
      </c>
      <c r="J4" s="14">
        <f t="shared" si="8"/>
        <v>0</v>
      </c>
      <c r="K4" s="14">
        <f>IF(J4=0,0,J4-J3)</f>
        <v>0</v>
      </c>
      <c r="L4" s="17">
        <f t="shared" ref="L4:L26" si="25">IF(J4=0,0,K4/J3)</f>
        <v>0</v>
      </c>
      <c r="M4" s="16">
        <f t="shared" ref="M4:M26" si="26">M3</f>
        <v>52</v>
      </c>
      <c r="N4" s="34"/>
      <c r="O4" s="25">
        <f t="shared" si="9"/>
        <v>0</v>
      </c>
      <c r="P4" s="15">
        <f t="shared" si="0"/>
        <v>0</v>
      </c>
      <c r="Q4" s="17">
        <f>IF(P4=0,0,(P4-P3)/P3)</f>
        <v>0</v>
      </c>
      <c r="R4" s="34">
        <f t="shared" ref="R4:R26" si="27">R3</f>
        <v>0.2</v>
      </c>
      <c r="S4" s="15" t="b">
        <f t="shared" si="10"/>
        <v>0</v>
      </c>
      <c r="T4" s="34">
        <f t="shared" si="11"/>
        <v>-0.2</v>
      </c>
      <c r="U4" s="15" t="b">
        <f t="shared" si="10"/>
        <v>0</v>
      </c>
      <c r="V4" s="34">
        <f t="shared" si="11"/>
        <v>0.1</v>
      </c>
      <c r="W4" s="34">
        <f t="shared" si="11"/>
        <v>-0.1</v>
      </c>
      <c r="X4" s="25">
        <f t="shared" ref="X4:X54" si="28">IF(P4&gt;S4,O4+O4*V4,IF(P4&lt;U4,O4+O4*W4,O4))</f>
        <v>0</v>
      </c>
      <c r="Y4" s="18">
        <f t="shared" si="1"/>
        <v>0</v>
      </c>
      <c r="Z4" s="15">
        <f t="shared" si="2"/>
        <v>0</v>
      </c>
      <c r="AA4" s="15">
        <f t="shared" ref="AA4:AA54" si="29">AA3+Z4</f>
        <v>0</v>
      </c>
      <c r="AB4" s="60">
        <v>1</v>
      </c>
      <c r="AC4" s="14">
        <f t="shared" ref="AC4:AC26" si="30">AC3</f>
        <v>0</v>
      </c>
      <c r="AD4" s="15">
        <f t="shared" ref="AD4:AD54" si="31">AD3+AC4</f>
        <v>0</v>
      </c>
      <c r="AE4" s="29"/>
      <c r="AF4" s="20">
        <f t="shared" si="12"/>
        <v>0</v>
      </c>
      <c r="AG4" s="10">
        <v>0.85</v>
      </c>
      <c r="AH4" s="29"/>
      <c r="AI4" s="20">
        <f t="shared" si="13"/>
        <v>0</v>
      </c>
      <c r="AJ4" s="29"/>
      <c r="AK4" s="20">
        <f t="shared" si="14"/>
        <v>0</v>
      </c>
      <c r="AL4" s="15">
        <f t="shared" ref="AL4:AL54" si="32">Z4+AC4+AE4+AH4+AJ4</f>
        <v>0</v>
      </c>
      <c r="AM4" s="15">
        <f t="shared" si="15"/>
        <v>0</v>
      </c>
      <c r="AN4" s="15">
        <v>0</v>
      </c>
      <c r="AO4" s="39">
        <f t="shared" si="16"/>
        <v>0</v>
      </c>
      <c r="AP4" s="15">
        <f t="shared" ref="AP4:AP54" si="33">AP3+AO4</f>
        <v>0</v>
      </c>
      <c r="AQ4" s="34">
        <v>0</v>
      </c>
      <c r="AR4" s="15">
        <f t="shared" si="3"/>
        <v>0</v>
      </c>
      <c r="AS4" s="15">
        <f t="shared" si="17"/>
        <v>0</v>
      </c>
      <c r="AT4" s="34">
        <v>1</v>
      </c>
      <c r="AU4" s="15">
        <f t="shared" si="4"/>
        <v>0</v>
      </c>
      <c r="AV4" s="15">
        <f t="shared" ref="AV4:AV54" si="34">AV3+AU4</f>
        <v>0</v>
      </c>
      <c r="AW4" s="39">
        <f t="shared" si="5"/>
        <v>576.92307692307691</v>
      </c>
      <c r="AX4" s="39">
        <f t="shared" si="18"/>
        <v>-576.92307692307691</v>
      </c>
      <c r="AY4" s="15">
        <f t="shared" si="6"/>
        <v>0</v>
      </c>
      <c r="AZ4" s="19">
        <f t="shared" ref="AZ4:AZ26" si="35">AZ3</f>
        <v>0.22</v>
      </c>
      <c r="BA4" s="19">
        <f t="shared" si="7"/>
        <v>0</v>
      </c>
      <c r="BB4" s="19">
        <f t="shared" si="19"/>
        <v>0</v>
      </c>
      <c r="BD4" s="19">
        <v>0.22</v>
      </c>
      <c r="BE4" s="22">
        <v>100800</v>
      </c>
      <c r="BF4" s="22">
        <v>67450</v>
      </c>
    </row>
    <row r="5" spans="1:58" ht="18.75" thickBot="1" x14ac:dyDescent="0.4">
      <c r="A5" s="59">
        <f t="shared" si="20"/>
        <v>46046</v>
      </c>
      <c r="B5" s="57"/>
      <c r="C5" s="49">
        <f t="shared" si="21"/>
        <v>0</v>
      </c>
      <c r="D5" s="29"/>
      <c r="E5" s="49">
        <f t="shared" si="22"/>
        <v>0</v>
      </c>
      <c r="F5" s="29"/>
      <c r="G5" s="49">
        <f t="shared" si="23"/>
        <v>0</v>
      </c>
      <c r="H5" s="30"/>
      <c r="I5" s="49">
        <f t="shared" si="24"/>
        <v>0</v>
      </c>
      <c r="J5" s="14">
        <f t="shared" si="8"/>
        <v>0</v>
      </c>
      <c r="K5" s="14">
        <f>IF(J5=0,0,J5-J4)</f>
        <v>0</v>
      </c>
      <c r="L5" s="17">
        <f t="shared" si="25"/>
        <v>0</v>
      </c>
      <c r="M5" s="16">
        <f t="shared" si="26"/>
        <v>52</v>
      </c>
      <c r="N5" s="34"/>
      <c r="O5" s="25">
        <f t="shared" si="9"/>
        <v>0</v>
      </c>
      <c r="P5" s="15">
        <f t="shared" si="0"/>
        <v>0</v>
      </c>
      <c r="Q5" s="17">
        <f t="shared" ref="Q5:Q54" si="36">IF(P5=0,0,(P5-P4)/P4)</f>
        <v>0</v>
      </c>
      <c r="R5" s="34">
        <f t="shared" si="27"/>
        <v>0.2</v>
      </c>
      <c r="S5" s="15" t="b">
        <f t="shared" si="10"/>
        <v>0</v>
      </c>
      <c r="T5" s="34">
        <f t="shared" si="11"/>
        <v>-0.2</v>
      </c>
      <c r="U5" s="15" t="b">
        <f t="shared" si="10"/>
        <v>0</v>
      </c>
      <c r="V5" s="34">
        <f t="shared" si="11"/>
        <v>0.1</v>
      </c>
      <c r="W5" s="34">
        <f t="shared" si="11"/>
        <v>-0.1</v>
      </c>
      <c r="X5" s="25">
        <f t="shared" si="28"/>
        <v>0</v>
      </c>
      <c r="Y5" s="18">
        <f t="shared" si="1"/>
        <v>0</v>
      </c>
      <c r="Z5" s="15">
        <f t="shared" si="2"/>
        <v>0</v>
      </c>
      <c r="AA5" s="15">
        <f t="shared" si="29"/>
        <v>0</v>
      </c>
      <c r="AB5" s="60">
        <v>1</v>
      </c>
      <c r="AC5" s="14">
        <f t="shared" si="30"/>
        <v>0</v>
      </c>
      <c r="AD5" s="15">
        <f t="shared" si="31"/>
        <v>0</v>
      </c>
      <c r="AE5" s="29"/>
      <c r="AF5" s="20">
        <f t="shared" si="12"/>
        <v>0</v>
      </c>
      <c r="AG5" s="10">
        <v>0.85</v>
      </c>
      <c r="AH5" s="29"/>
      <c r="AI5" s="20">
        <f t="shared" si="13"/>
        <v>0</v>
      </c>
      <c r="AJ5" s="29"/>
      <c r="AK5" s="20">
        <f t="shared" si="14"/>
        <v>0</v>
      </c>
      <c r="AL5" s="15">
        <f t="shared" si="32"/>
        <v>0</v>
      </c>
      <c r="AM5" s="15">
        <f t="shared" si="15"/>
        <v>0</v>
      </c>
      <c r="AN5" s="15">
        <v>0</v>
      </c>
      <c r="AO5" s="39">
        <f t="shared" si="16"/>
        <v>0</v>
      </c>
      <c r="AP5" s="15">
        <f t="shared" si="33"/>
        <v>0</v>
      </c>
      <c r="AQ5" s="34">
        <v>0</v>
      </c>
      <c r="AR5" s="15">
        <f t="shared" si="3"/>
        <v>0</v>
      </c>
      <c r="AS5" s="15">
        <f t="shared" si="17"/>
        <v>0</v>
      </c>
      <c r="AT5" s="34">
        <v>1</v>
      </c>
      <c r="AU5" s="15">
        <f t="shared" si="4"/>
        <v>0</v>
      </c>
      <c r="AV5" s="15">
        <f t="shared" si="34"/>
        <v>0</v>
      </c>
      <c r="AW5" s="39">
        <f t="shared" si="5"/>
        <v>576.92307692307691</v>
      </c>
      <c r="AX5" s="39">
        <f t="shared" si="18"/>
        <v>-576.92307692307691</v>
      </c>
      <c r="AY5" s="15">
        <f t="shared" si="6"/>
        <v>0</v>
      </c>
      <c r="AZ5" s="19">
        <f t="shared" si="35"/>
        <v>0.22</v>
      </c>
      <c r="BA5" s="19">
        <f t="shared" si="7"/>
        <v>0</v>
      </c>
      <c r="BB5" s="19">
        <f t="shared" si="19"/>
        <v>0</v>
      </c>
      <c r="BD5" s="19">
        <v>0.24</v>
      </c>
      <c r="BE5" s="22">
        <v>211400</v>
      </c>
      <c r="BF5" s="22">
        <v>105700</v>
      </c>
    </row>
    <row r="6" spans="1:58" ht="18.75" thickBot="1" x14ac:dyDescent="0.4">
      <c r="A6" s="59">
        <f t="shared" si="20"/>
        <v>46053</v>
      </c>
      <c r="B6" s="57"/>
      <c r="C6" s="49">
        <f t="shared" si="21"/>
        <v>0</v>
      </c>
      <c r="D6" s="29"/>
      <c r="E6" s="49">
        <f t="shared" si="22"/>
        <v>0</v>
      </c>
      <c r="F6" s="29"/>
      <c r="G6" s="49">
        <f t="shared" si="23"/>
        <v>0</v>
      </c>
      <c r="H6" s="30"/>
      <c r="I6" s="49">
        <f t="shared" si="24"/>
        <v>0</v>
      </c>
      <c r="J6" s="14">
        <f t="shared" si="8"/>
        <v>0</v>
      </c>
      <c r="K6" s="14">
        <f t="shared" ref="K6:K54" si="37">IF(J6=0,0,J6-J5)</f>
        <v>0</v>
      </c>
      <c r="L6" s="17">
        <f t="shared" si="25"/>
        <v>0</v>
      </c>
      <c r="M6" s="16">
        <f t="shared" si="26"/>
        <v>52</v>
      </c>
      <c r="N6" s="34"/>
      <c r="O6" s="25">
        <f t="shared" si="9"/>
        <v>0</v>
      </c>
      <c r="P6" s="15">
        <f t="shared" si="0"/>
        <v>0</v>
      </c>
      <c r="Q6" s="17">
        <f t="shared" si="36"/>
        <v>0</v>
      </c>
      <c r="R6" s="34">
        <f t="shared" si="27"/>
        <v>0.2</v>
      </c>
      <c r="S6" s="15" t="b">
        <f t="shared" si="10"/>
        <v>0</v>
      </c>
      <c r="T6" s="34">
        <f t="shared" si="11"/>
        <v>-0.2</v>
      </c>
      <c r="U6" s="15" t="b">
        <f t="shared" si="10"/>
        <v>0</v>
      </c>
      <c r="V6" s="34">
        <f t="shared" si="11"/>
        <v>0.1</v>
      </c>
      <c r="W6" s="34">
        <f t="shared" si="11"/>
        <v>-0.1</v>
      </c>
      <c r="X6" s="25">
        <f t="shared" si="28"/>
        <v>0</v>
      </c>
      <c r="Y6" s="18">
        <f t="shared" si="1"/>
        <v>0</v>
      </c>
      <c r="Z6" s="15">
        <f t="shared" si="2"/>
        <v>0</v>
      </c>
      <c r="AA6" s="15">
        <f t="shared" si="29"/>
        <v>0</v>
      </c>
      <c r="AB6" s="60">
        <v>1</v>
      </c>
      <c r="AC6" s="14">
        <f t="shared" si="30"/>
        <v>0</v>
      </c>
      <c r="AD6" s="15">
        <f t="shared" si="31"/>
        <v>0</v>
      </c>
      <c r="AE6" s="29"/>
      <c r="AF6" s="20">
        <f t="shared" si="12"/>
        <v>0</v>
      </c>
      <c r="AG6" s="10">
        <v>0.85</v>
      </c>
      <c r="AH6" s="29"/>
      <c r="AI6" s="20">
        <f t="shared" si="13"/>
        <v>0</v>
      </c>
      <c r="AJ6" s="29"/>
      <c r="AK6" s="20">
        <f t="shared" si="14"/>
        <v>0</v>
      </c>
      <c r="AL6" s="15">
        <f t="shared" si="32"/>
        <v>0</v>
      </c>
      <c r="AM6" s="15">
        <f t="shared" si="15"/>
        <v>0</v>
      </c>
      <c r="AN6" s="15">
        <v>0</v>
      </c>
      <c r="AO6" s="39">
        <f t="shared" si="16"/>
        <v>0</v>
      </c>
      <c r="AP6" s="15">
        <f t="shared" si="33"/>
        <v>0</v>
      </c>
      <c r="AQ6" s="34">
        <v>0</v>
      </c>
      <c r="AR6" s="15">
        <f t="shared" si="3"/>
        <v>0</v>
      </c>
      <c r="AS6" s="15">
        <f t="shared" si="17"/>
        <v>0</v>
      </c>
      <c r="AT6" s="34">
        <v>1</v>
      </c>
      <c r="AU6" s="15">
        <f t="shared" si="4"/>
        <v>0</v>
      </c>
      <c r="AV6" s="15">
        <f t="shared" si="34"/>
        <v>0</v>
      </c>
      <c r="AW6" s="39">
        <f t="shared" si="5"/>
        <v>576.92307692307691</v>
      </c>
      <c r="AX6" s="39">
        <f t="shared" si="18"/>
        <v>-576.92307692307691</v>
      </c>
      <c r="AY6" s="15">
        <f t="shared" si="6"/>
        <v>0</v>
      </c>
      <c r="AZ6" s="19">
        <f t="shared" si="35"/>
        <v>0.22</v>
      </c>
      <c r="BA6" s="19">
        <f t="shared" si="7"/>
        <v>0</v>
      </c>
      <c r="BB6" s="19">
        <f t="shared" si="19"/>
        <v>0</v>
      </c>
      <c r="BD6" s="19">
        <v>0.32</v>
      </c>
      <c r="BE6" s="22">
        <v>403550</v>
      </c>
      <c r="BF6" s="22">
        <v>201775</v>
      </c>
    </row>
    <row r="7" spans="1:58" ht="18.75" thickBot="1" x14ac:dyDescent="0.4">
      <c r="A7" s="59">
        <f t="shared" si="20"/>
        <v>46060</v>
      </c>
      <c r="B7" s="57"/>
      <c r="C7" s="49">
        <f t="shared" si="21"/>
        <v>0</v>
      </c>
      <c r="D7" s="29"/>
      <c r="E7" s="49">
        <f t="shared" si="22"/>
        <v>0</v>
      </c>
      <c r="F7" s="29"/>
      <c r="G7" s="49">
        <f t="shared" si="23"/>
        <v>0</v>
      </c>
      <c r="H7" s="30"/>
      <c r="I7" s="49">
        <f t="shared" si="24"/>
        <v>0</v>
      </c>
      <c r="J7" s="14">
        <f t="shared" si="8"/>
        <v>0</v>
      </c>
      <c r="K7" s="14">
        <f t="shared" si="37"/>
        <v>0</v>
      </c>
      <c r="L7" s="17">
        <f t="shared" si="25"/>
        <v>0</v>
      </c>
      <c r="M7" s="16">
        <f t="shared" si="26"/>
        <v>52</v>
      </c>
      <c r="N7" s="34"/>
      <c r="O7" s="25">
        <f t="shared" si="9"/>
        <v>0</v>
      </c>
      <c r="P7" s="15">
        <f t="shared" si="0"/>
        <v>0</v>
      </c>
      <c r="Q7" s="17">
        <f t="shared" si="36"/>
        <v>0</v>
      </c>
      <c r="R7" s="34">
        <f t="shared" si="27"/>
        <v>0.2</v>
      </c>
      <c r="S7" s="15" t="b">
        <f t="shared" si="10"/>
        <v>0</v>
      </c>
      <c r="T7" s="34">
        <f t="shared" si="11"/>
        <v>-0.2</v>
      </c>
      <c r="U7" s="15" t="b">
        <f t="shared" si="10"/>
        <v>0</v>
      </c>
      <c r="V7" s="34">
        <f t="shared" si="11"/>
        <v>0.1</v>
      </c>
      <c r="W7" s="34">
        <f t="shared" si="11"/>
        <v>-0.1</v>
      </c>
      <c r="X7" s="25">
        <f t="shared" si="28"/>
        <v>0</v>
      </c>
      <c r="Y7" s="18">
        <f t="shared" si="1"/>
        <v>0</v>
      </c>
      <c r="Z7" s="15">
        <f t="shared" si="2"/>
        <v>0</v>
      </c>
      <c r="AA7" s="15">
        <f t="shared" si="29"/>
        <v>0</v>
      </c>
      <c r="AB7" s="60">
        <v>1</v>
      </c>
      <c r="AC7" s="14">
        <f t="shared" si="30"/>
        <v>0</v>
      </c>
      <c r="AD7" s="15">
        <f t="shared" si="31"/>
        <v>0</v>
      </c>
      <c r="AE7" s="29"/>
      <c r="AF7" s="20">
        <f t="shared" si="12"/>
        <v>0</v>
      </c>
      <c r="AG7" s="10">
        <v>0.85</v>
      </c>
      <c r="AH7" s="29"/>
      <c r="AI7" s="20">
        <f t="shared" si="13"/>
        <v>0</v>
      </c>
      <c r="AJ7" s="29"/>
      <c r="AK7" s="20">
        <f t="shared" si="14"/>
        <v>0</v>
      </c>
      <c r="AL7" s="15">
        <f t="shared" si="32"/>
        <v>0</v>
      </c>
      <c r="AM7" s="15">
        <f t="shared" si="15"/>
        <v>0</v>
      </c>
      <c r="AN7" s="15">
        <v>0</v>
      </c>
      <c r="AO7" s="39">
        <f t="shared" si="16"/>
        <v>0</v>
      </c>
      <c r="AP7" s="15">
        <f t="shared" si="33"/>
        <v>0</v>
      </c>
      <c r="AQ7" s="34">
        <v>0</v>
      </c>
      <c r="AR7" s="15">
        <f t="shared" si="3"/>
        <v>0</v>
      </c>
      <c r="AS7" s="15">
        <f t="shared" si="17"/>
        <v>0</v>
      </c>
      <c r="AT7" s="34">
        <v>1</v>
      </c>
      <c r="AU7" s="15">
        <f t="shared" si="4"/>
        <v>0</v>
      </c>
      <c r="AV7" s="15">
        <f t="shared" si="34"/>
        <v>0</v>
      </c>
      <c r="AW7" s="39">
        <f t="shared" si="5"/>
        <v>576.92307692307691</v>
      </c>
      <c r="AX7" s="39">
        <f t="shared" si="18"/>
        <v>-576.92307692307691</v>
      </c>
      <c r="AY7" s="15">
        <f t="shared" si="6"/>
        <v>0</v>
      </c>
      <c r="AZ7" s="19">
        <f t="shared" si="35"/>
        <v>0.22</v>
      </c>
      <c r="BA7" s="19">
        <f t="shared" si="7"/>
        <v>0</v>
      </c>
      <c r="BB7" s="19">
        <f t="shared" si="19"/>
        <v>0</v>
      </c>
      <c r="BD7" s="19">
        <v>0.35</v>
      </c>
      <c r="BE7" s="22">
        <v>512450</v>
      </c>
      <c r="BF7" s="22">
        <v>256200</v>
      </c>
    </row>
    <row r="8" spans="1:58" ht="18.75" thickBot="1" x14ac:dyDescent="0.4">
      <c r="A8" s="59">
        <f t="shared" si="20"/>
        <v>46067</v>
      </c>
      <c r="B8" s="57"/>
      <c r="C8" s="49">
        <f t="shared" si="21"/>
        <v>0</v>
      </c>
      <c r="D8" s="29"/>
      <c r="E8" s="49">
        <f t="shared" si="22"/>
        <v>0</v>
      </c>
      <c r="F8" s="29"/>
      <c r="G8" s="49">
        <f t="shared" si="23"/>
        <v>0</v>
      </c>
      <c r="H8" s="30"/>
      <c r="I8" s="49">
        <f t="shared" si="24"/>
        <v>0</v>
      </c>
      <c r="J8" s="14">
        <f t="shared" si="8"/>
        <v>0</v>
      </c>
      <c r="K8" s="14">
        <f t="shared" si="37"/>
        <v>0</v>
      </c>
      <c r="L8" s="17">
        <f t="shared" si="25"/>
        <v>0</v>
      </c>
      <c r="M8" s="16">
        <f t="shared" si="26"/>
        <v>52</v>
      </c>
      <c r="N8" s="34"/>
      <c r="O8" s="25">
        <f t="shared" si="9"/>
        <v>0</v>
      </c>
      <c r="P8" s="15">
        <f t="shared" si="0"/>
        <v>0</v>
      </c>
      <c r="Q8" s="17">
        <f t="shared" si="36"/>
        <v>0</v>
      </c>
      <c r="R8" s="34">
        <f t="shared" si="27"/>
        <v>0.2</v>
      </c>
      <c r="S8" s="15" t="b">
        <f t="shared" si="10"/>
        <v>0</v>
      </c>
      <c r="T8" s="34">
        <f t="shared" si="11"/>
        <v>-0.2</v>
      </c>
      <c r="U8" s="15" t="b">
        <f t="shared" si="10"/>
        <v>0</v>
      </c>
      <c r="V8" s="34">
        <f t="shared" si="11"/>
        <v>0.1</v>
      </c>
      <c r="W8" s="34">
        <f t="shared" si="11"/>
        <v>-0.1</v>
      </c>
      <c r="X8" s="25">
        <f t="shared" si="28"/>
        <v>0</v>
      </c>
      <c r="Y8" s="18">
        <f t="shared" si="1"/>
        <v>0</v>
      </c>
      <c r="Z8" s="15">
        <f t="shared" si="2"/>
        <v>0</v>
      </c>
      <c r="AA8" s="15">
        <f t="shared" si="29"/>
        <v>0</v>
      </c>
      <c r="AB8" s="60">
        <v>1</v>
      </c>
      <c r="AC8" s="14">
        <f t="shared" si="30"/>
        <v>0</v>
      </c>
      <c r="AD8" s="15">
        <f t="shared" si="31"/>
        <v>0</v>
      </c>
      <c r="AE8" s="29"/>
      <c r="AF8" s="20">
        <f t="shared" si="12"/>
        <v>0</v>
      </c>
      <c r="AG8" s="10">
        <v>0.85</v>
      </c>
      <c r="AH8" s="29"/>
      <c r="AI8" s="20">
        <f t="shared" si="13"/>
        <v>0</v>
      </c>
      <c r="AJ8" s="29"/>
      <c r="AK8" s="20">
        <f t="shared" si="14"/>
        <v>0</v>
      </c>
      <c r="AL8" s="15">
        <f t="shared" si="32"/>
        <v>0</v>
      </c>
      <c r="AM8" s="15">
        <f t="shared" si="15"/>
        <v>0</v>
      </c>
      <c r="AN8" s="15">
        <v>0</v>
      </c>
      <c r="AO8" s="39">
        <f t="shared" si="16"/>
        <v>0</v>
      </c>
      <c r="AP8" s="15">
        <f t="shared" si="33"/>
        <v>0</v>
      </c>
      <c r="AQ8" s="34">
        <v>0</v>
      </c>
      <c r="AR8" s="15">
        <f t="shared" si="3"/>
        <v>0</v>
      </c>
      <c r="AS8" s="15">
        <f t="shared" si="17"/>
        <v>0</v>
      </c>
      <c r="AT8" s="34">
        <v>1</v>
      </c>
      <c r="AU8" s="15">
        <f t="shared" si="4"/>
        <v>0</v>
      </c>
      <c r="AV8" s="15">
        <f t="shared" si="34"/>
        <v>0</v>
      </c>
      <c r="AW8" s="39">
        <f t="shared" si="5"/>
        <v>576.92307692307691</v>
      </c>
      <c r="AX8" s="39">
        <f t="shared" si="18"/>
        <v>-576.92307692307691</v>
      </c>
      <c r="AY8" s="15">
        <f t="shared" si="6"/>
        <v>0</v>
      </c>
      <c r="AZ8" s="19">
        <f t="shared" si="35"/>
        <v>0.22</v>
      </c>
      <c r="BA8" s="19">
        <f t="shared" si="7"/>
        <v>0</v>
      </c>
      <c r="BB8" s="19">
        <f t="shared" si="19"/>
        <v>0</v>
      </c>
      <c r="BD8" s="19">
        <v>0.37</v>
      </c>
      <c r="BE8" s="22">
        <v>768700</v>
      </c>
      <c r="BF8" s="22">
        <v>640600</v>
      </c>
    </row>
    <row r="9" spans="1:58" ht="18.75" thickBot="1" x14ac:dyDescent="0.4">
      <c r="A9" s="59">
        <f t="shared" si="20"/>
        <v>46074</v>
      </c>
      <c r="B9" s="57"/>
      <c r="C9" s="49">
        <f t="shared" si="21"/>
        <v>0</v>
      </c>
      <c r="D9" s="29"/>
      <c r="E9" s="49">
        <f t="shared" si="22"/>
        <v>0</v>
      </c>
      <c r="F9" s="29"/>
      <c r="G9" s="49">
        <f t="shared" si="23"/>
        <v>0</v>
      </c>
      <c r="H9" s="30"/>
      <c r="I9" s="49">
        <f t="shared" si="24"/>
        <v>0</v>
      </c>
      <c r="J9" s="14">
        <f t="shared" si="8"/>
        <v>0</v>
      </c>
      <c r="K9" s="14">
        <f t="shared" si="37"/>
        <v>0</v>
      </c>
      <c r="L9" s="17">
        <f t="shared" si="25"/>
        <v>0</v>
      </c>
      <c r="M9" s="16">
        <f t="shared" si="26"/>
        <v>52</v>
      </c>
      <c r="N9" s="34"/>
      <c r="O9" s="25">
        <f t="shared" si="9"/>
        <v>0</v>
      </c>
      <c r="P9" s="15">
        <f t="shared" si="0"/>
        <v>0</v>
      </c>
      <c r="Q9" s="17">
        <f t="shared" si="36"/>
        <v>0</v>
      </c>
      <c r="R9" s="34">
        <f t="shared" si="27"/>
        <v>0.2</v>
      </c>
      <c r="S9" s="15" t="b">
        <f t="shared" si="10"/>
        <v>0</v>
      </c>
      <c r="T9" s="34">
        <f t="shared" si="11"/>
        <v>-0.2</v>
      </c>
      <c r="U9" s="15" t="b">
        <f t="shared" si="10"/>
        <v>0</v>
      </c>
      <c r="V9" s="34">
        <f t="shared" si="11"/>
        <v>0.1</v>
      </c>
      <c r="W9" s="34">
        <f t="shared" si="11"/>
        <v>-0.1</v>
      </c>
      <c r="X9" s="25">
        <f t="shared" si="28"/>
        <v>0</v>
      </c>
      <c r="Y9" s="18">
        <f t="shared" si="1"/>
        <v>0</v>
      </c>
      <c r="Z9" s="15">
        <f t="shared" si="2"/>
        <v>0</v>
      </c>
      <c r="AA9" s="15">
        <f t="shared" si="29"/>
        <v>0</v>
      </c>
      <c r="AB9" s="60">
        <v>1</v>
      </c>
      <c r="AC9" s="14">
        <f t="shared" si="30"/>
        <v>0</v>
      </c>
      <c r="AD9" s="15">
        <f t="shared" si="31"/>
        <v>0</v>
      </c>
      <c r="AE9" s="29"/>
      <c r="AF9" s="20">
        <f t="shared" si="12"/>
        <v>0</v>
      </c>
      <c r="AG9" s="10">
        <v>0.85</v>
      </c>
      <c r="AH9" s="29"/>
      <c r="AI9" s="20">
        <f t="shared" si="13"/>
        <v>0</v>
      </c>
      <c r="AJ9" s="29"/>
      <c r="AK9" s="20">
        <f t="shared" si="14"/>
        <v>0</v>
      </c>
      <c r="AL9" s="15">
        <f t="shared" si="32"/>
        <v>0</v>
      </c>
      <c r="AM9" s="15">
        <f t="shared" si="15"/>
        <v>0</v>
      </c>
      <c r="AN9" s="15">
        <v>0</v>
      </c>
      <c r="AO9" s="39">
        <f t="shared" si="16"/>
        <v>0</v>
      </c>
      <c r="AP9" s="15">
        <f t="shared" si="33"/>
        <v>0</v>
      </c>
      <c r="AQ9" s="34">
        <v>0</v>
      </c>
      <c r="AR9" s="15">
        <f t="shared" si="3"/>
        <v>0</v>
      </c>
      <c r="AS9" s="15">
        <f t="shared" si="17"/>
        <v>0</v>
      </c>
      <c r="AT9" s="34">
        <v>1</v>
      </c>
      <c r="AU9" s="15">
        <f t="shared" si="4"/>
        <v>0</v>
      </c>
      <c r="AV9" s="15">
        <f t="shared" si="34"/>
        <v>0</v>
      </c>
      <c r="AW9" s="39">
        <f t="shared" si="5"/>
        <v>576.92307692307691</v>
      </c>
      <c r="AX9" s="39">
        <f t="shared" si="18"/>
        <v>-576.92307692307691</v>
      </c>
      <c r="AY9" s="15">
        <f t="shared" si="6"/>
        <v>0</v>
      </c>
      <c r="AZ9" s="19">
        <f t="shared" si="35"/>
        <v>0.22</v>
      </c>
      <c r="BA9" s="19">
        <f t="shared" si="7"/>
        <v>0</v>
      </c>
      <c r="BB9" s="19">
        <f t="shared" si="19"/>
        <v>0</v>
      </c>
    </row>
    <row r="10" spans="1:58" ht="18.75" thickBot="1" x14ac:dyDescent="0.4">
      <c r="A10" s="59">
        <f t="shared" si="20"/>
        <v>46081</v>
      </c>
      <c r="B10" s="57"/>
      <c r="C10" s="49">
        <f t="shared" si="21"/>
        <v>0</v>
      </c>
      <c r="D10" s="29"/>
      <c r="E10" s="49">
        <f t="shared" si="22"/>
        <v>0</v>
      </c>
      <c r="F10" s="29"/>
      <c r="G10" s="49">
        <f t="shared" si="23"/>
        <v>0</v>
      </c>
      <c r="H10" s="30"/>
      <c r="I10" s="49">
        <f t="shared" si="24"/>
        <v>0</v>
      </c>
      <c r="J10" s="14">
        <f t="shared" si="8"/>
        <v>0</v>
      </c>
      <c r="K10" s="14">
        <f t="shared" si="37"/>
        <v>0</v>
      </c>
      <c r="L10" s="17">
        <f t="shared" si="25"/>
        <v>0</v>
      </c>
      <c r="M10" s="16">
        <f t="shared" si="26"/>
        <v>52</v>
      </c>
      <c r="N10" s="34"/>
      <c r="O10" s="25">
        <f t="shared" si="9"/>
        <v>0</v>
      </c>
      <c r="P10" s="15">
        <f t="shared" si="0"/>
        <v>0</v>
      </c>
      <c r="Q10" s="17">
        <f t="shared" si="36"/>
        <v>0</v>
      </c>
      <c r="R10" s="34">
        <f t="shared" si="27"/>
        <v>0.2</v>
      </c>
      <c r="S10" s="15" t="b">
        <f t="shared" si="10"/>
        <v>0</v>
      </c>
      <c r="T10" s="34">
        <f t="shared" si="11"/>
        <v>-0.2</v>
      </c>
      <c r="U10" s="15" t="b">
        <f t="shared" si="10"/>
        <v>0</v>
      </c>
      <c r="V10" s="34">
        <f t="shared" si="11"/>
        <v>0.1</v>
      </c>
      <c r="W10" s="34">
        <f t="shared" si="11"/>
        <v>-0.1</v>
      </c>
      <c r="X10" s="25">
        <f t="shared" si="28"/>
        <v>0</v>
      </c>
      <c r="Y10" s="18">
        <f t="shared" si="1"/>
        <v>0</v>
      </c>
      <c r="Z10" s="15">
        <f t="shared" si="2"/>
        <v>0</v>
      </c>
      <c r="AA10" s="15">
        <f t="shared" si="29"/>
        <v>0</v>
      </c>
      <c r="AB10" s="60">
        <v>1</v>
      </c>
      <c r="AC10" s="14">
        <f t="shared" si="30"/>
        <v>0</v>
      </c>
      <c r="AD10" s="15">
        <f t="shared" si="31"/>
        <v>0</v>
      </c>
      <c r="AE10" s="29"/>
      <c r="AF10" s="20">
        <f t="shared" si="12"/>
        <v>0</v>
      </c>
      <c r="AG10" s="10">
        <v>0.85</v>
      </c>
      <c r="AH10" s="29"/>
      <c r="AI10" s="20">
        <f t="shared" si="13"/>
        <v>0</v>
      </c>
      <c r="AJ10" s="29"/>
      <c r="AK10" s="20">
        <f t="shared" si="14"/>
        <v>0</v>
      </c>
      <c r="AL10" s="15">
        <f t="shared" si="32"/>
        <v>0</v>
      </c>
      <c r="AM10" s="15">
        <f t="shared" si="15"/>
        <v>0</v>
      </c>
      <c r="AN10" s="15">
        <v>0</v>
      </c>
      <c r="AO10" s="39">
        <f t="shared" si="16"/>
        <v>0</v>
      </c>
      <c r="AP10" s="15">
        <f t="shared" si="33"/>
        <v>0</v>
      </c>
      <c r="AQ10" s="34">
        <v>0</v>
      </c>
      <c r="AR10" s="15">
        <f t="shared" si="3"/>
        <v>0</v>
      </c>
      <c r="AS10" s="15">
        <f t="shared" si="17"/>
        <v>0</v>
      </c>
      <c r="AT10" s="34">
        <v>1</v>
      </c>
      <c r="AU10" s="15">
        <f t="shared" si="4"/>
        <v>0</v>
      </c>
      <c r="AV10" s="15">
        <f t="shared" si="34"/>
        <v>0</v>
      </c>
      <c r="AW10" s="39">
        <f t="shared" si="5"/>
        <v>576.92307692307691</v>
      </c>
      <c r="AX10" s="39">
        <f t="shared" si="18"/>
        <v>-576.92307692307691</v>
      </c>
      <c r="AY10" s="15">
        <f t="shared" si="6"/>
        <v>0</v>
      </c>
      <c r="AZ10" s="19">
        <f t="shared" si="35"/>
        <v>0.22</v>
      </c>
      <c r="BA10" s="19">
        <f t="shared" si="7"/>
        <v>0</v>
      </c>
      <c r="BB10" s="19">
        <f t="shared" si="19"/>
        <v>0</v>
      </c>
    </row>
    <row r="11" spans="1:58" ht="18.75" thickBot="1" x14ac:dyDescent="0.4">
      <c r="A11" s="59">
        <f t="shared" si="20"/>
        <v>46088</v>
      </c>
      <c r="B11" s="57"/>
      <c r="C11" s="49">
        <f t="shared" si="21"/>
        <v>0</v>
      </c>
      <c r="D11" s="29"/>
      <c r="E11" s="49">
        <f t="shared" si="22"/>
        <v>0</v>
      </c>
      <c r="F11" s="29"/>
      <c r="G11" s="49">
        <f t="shared" si="23"/>
        <v>0</v>
      </c>
      <c r="H11" s="30"/>
      <c r="I11" s="49">
        <f t="shared" si="24"/>
        <v>0</v>
      </c>
      <c r="J11" s="14">
        <f t="shared" si="8"/>
        <v>0</v>
      </c>
      <c r="K11" s="14">
        <f t="shared" si="37"/>
        <v>0</v>
      </c>
      <c r="L11" s="17">
        <f t="shared" si="25"/>
        <v>0</v>
      </c>
      <c r="M11" s="16">
        <f t="shared" si="26"/>
        <v>52</v>
      </c>
      <c r="N11" s="34"/>
      <c r="O11" s="25">
        <f t="shared" si="9"/>
        <v>0</v>
      </c>
      <c r="P11" s="15">
        <f t="shared" si="0"/>
        <v>0</v>
      </c>
      <c r="Q11" s="17">
        <f t="shared" si="36"/>
        <v>0</v>
      </c>
      <c r="R11" s="34">
        <f t="shared" si="27"/>
        <v>0.2</v>
      </c>
      <c r="S11" s="15" t="b">
        <f t="shared" si="10"/>
        <v>0</v>
      </c>
      <c r="T11" s="34">
        <f t="shared" si="11"/>
        <v>-0.2</v>
      </c>
      <c r="U11" s="15" t="b">
        <f t="shared" si="10"/>
        <v>0</v>
      </c>
      <c r="V11" s="34">
        <f t="shared" si="11"/>
        <v>0.1</v>
      </c>
      <c r="W11" s="34">
        <f t="shared" si="11"/>
        <v>-0.1</v>
      </c>
      <c r="X11" s="25">
        <f t="shared" si="28"/>
        <v>0</v>
      </c>
      <c r="Y11" s="18">
        <f t="shared" si="1"/>
        <v>0</v>
      </c>
      <c r="Z11" s="15">
        <f t="shared" si="2"/>
        <v>0</v>
      </c>
      <c r="AA11" s="15">
        <f t="shared" si="29"/>
        <v>0</v>
      </c>
      <c r="AB11" s="60">
        <v>1</v>
      </c>
      <c r="AC11" s="14">
        <f t="shared" si="30"/>
        <v>0</v>
      </c>
      <c r="AD11" s="15">
        <f t="shared" si="31"/>
        <v>0</v>
      </c>
      <c r="AE11" s="29"/>
      <c r="AF11" s="20">
        <f t="shared" si="12"/>
        <v>0</v>
      </c>
      <c r="AG11" s="10">
        <v>0.85</v>
      </c>
      <c r="AH11" s="29"/>
      <c r="AI11" s="20">
        <f t="shared" si="13"/>
        <v>0</v>
      </c>
      <c r="AJ11" s="29"/>
      <c r="AK11" s="20">
        <f t="shared" si="14"/>
        <v>0</v>
      </c>
      <c r="AL11" s="15">
        <f t="shared" si="32"/>
        <v>0</v>
      </c>
      <c r="AM11" s="15">
        <f t="shared" si="15"/>
        <v>0</v>
      </c>
      <c r="AN11" s="15">
        <v>0</v>
      </c>
      <c r="AO11" s="39">
        <f t="shared" si="16"/>
        <v>0</v>
      </c>
      <c r="AP11" s="15">
        <f t="shared" si="33"/>
        <v>0</v>
      </c>
      <c r="AQ11" s="34">
        <v>0</v>
      </c>
      <c r="AR11" s="15">
        <f t="shared" si="3"/>
        <v>0</v>
      </c>
      <c r="AS11" s="15">
        <f t="shared" si="17"/>
        <v>0</v>
      </c>
      <c r="AT11" s="34">
        <v>1</v>
      </c>
      <c r="AU11" s="15">
        <f t="shared" si="4"/>
        <v>0</v>
      </c>
      <c r="AV11" s="15">
        <f t="shared" si="34"/>
        <v>0</v>
      </c>
      <c r="AW11" s="39">
        <f t="shared" si="5"/>
        <v>576.92307692307691</v>
      </c>
      <c r="AX11" s="39">
        <f t="shared" si="18"/>
        <v>-576.92307692307691</v>
      </c>
      <c r="AY11" s="15">
        <f t="shared" si="6"/>
        <v>0</v>
      </c>
      <c r="AZ11" s="19">
        <f t="shared" si="35"/>
        <v>0.22</v>
      </c>
      <c r="BA11" s="19">
        <f t="shared" si="7"/>
        <v>0</v>
      </c>
      <c r="BB11" s="19">
        <f t="shared" si="19"/>
        <v>0</v>
      </c>
    </row>
    <row r="12" spans="1:58" ht="18.75" thickBot="1" x14ac:dyDescent="0.4">
      <c r="A12" s="59">
        <f t="shared" si="20"/>
        <v>46095</v>
      </c>
      <c r="B12" s="57"/>
      <c r="C12" s="49">
        <f t="shared" si="21"/>
        <v>0</v>
      </c>
      <c r="D12" s="29"/>
      <c r="E12" s="49">
        <f t="shared" si="22"/>
        <v>0</v>
      </c>
      <c r="F12" s="29"/>
      <c r="G12" s="49">
        <f t="shared" si="23"/>
        <v>0</v>
      </c>
      <c r="H12" s="30"/>
      <c r="I12" s="49">
        <f t="shared" si="24"/>
        <v>0</v>
      </c>
      <c r="J12" s="14">
        <f t="shared" si="8"/>
        <v>0</v>
      </c>
      <c r="K12" s="14">
        <f t="shared" si="37"/>
        <v>0</v>
      </c>
      <c r="L12" s="17">
        <f t="shared" si="25"/>
        <v>0</v>
      </c>
      <c r="M12" s="16">
        <f t="shared" si="26"/>
        <v>52</v>
      </c>
      <c r="N12" s="34"/>
      <c r="O12" s="25">
        <f t="shared" si="9"/>
        <v>0</v>
      </c>
      <c r="P12" s="15">
        <f t="shared" si="0"/>
        <v>0</v>
      </c>
      <c r="Q12" s="17">
        <f t="shared" si="36"/>
        <v>0</v>
      </c>
      <c r="R12" s="34">
        <f t="shared" si="27"/>
        <v>0.2</v>
      </c>
      <c r="S12" s="15" t="b">
        <f t="shared" si="10"/>
        <v>0</v>
      </c>
      <c r="T12" s="34">
        <f t="shared" si="11"/>
        <v>-0.2</v>
      </c>
      <c r="U12" s="15" t="b">
        <f t="shared" si="10"/>
        <v>0</v>
      </c>
      <c r="V12" s="34">
        <f t="shared" si="11"/>
        <v>0.1</v>
      </c>
      <c r="W12" s="34">
        <f t="shared" si="11"/>
        <v>-0.1</v>
      </c>
      <c r="X12" s="25">
        <f t="shared" si="28"/>
        <v>0</v>
      </c>
      <c r="Y12" s="18">
        <f t="shared" si="1"/>
        <v>0</v>
      </c>
      <c r="Z12" s="15">
        <f t="shared" si="2"/>
        <v>0</v>
      </c>
      <c r="AA12" s="15">
        <f t="shared" si="29"/>
        <v>0</v>
      </c>
      <c r="AB12" s="60">
        <v>1</v>
      </c>
      <c r="AC12" s="14">
        <f t="shared" si="30"/>
        <v>0</v>
      </c>
      <c r="AD12" s="15">
        <f t="shared" si="31"/>
        <v>0</v>
      </c>
      <c r="AE12" s="29"/>
      <c r="AF12" s="20">
        <f t="shared" si="12"/>
        <v>0</v>
      </c>
      <c r="AG12" s="10">
        <v>0.85</v>
      </c>
      <c r="AH12" s="29"/>
      <c r="AI12" s="20">
        <f t="shared" si="13"/>
        <v>0</v>
      </c>
      <c r="AJ12" s="29"/>
      <c r="AK12" s="20">
        <f t="shared" si="14"/>
        <v>0</v>
      </c>
      <c r="AL12" s="15">
        <f t="shared" si="32"/>
        <v>0</v>
      </c>
      <c r="AM12" s="15">
        <f t="shared" si="15"/>
        <v>0</v>
      </c>
      <c r="AN12" s="15">
        <v>0</v>
      </c>
      <c r="AO12" s="39">
        <f t="shared" si="16"/>
        <v>0</v>
      </c>
      <c r="AP12" s="15">
        <f t="shared" si="33"/>
        <v>0</v>
      </c>
      <c r="AQ12" s="34">
        <v>0</v>
      </c>
      <c r="AR12" s="15">
        <f t="shared" si="3"/>
        <v>0</v>
      </c>
      <c r="AS12" s="15">
        <f t="shared" si="17"/>
        <v>0</v>
      </c>
      <c r="AT12" s="34">
        <v>1</v>
      </c>
      <c r="AU12" s="15">
        <f t="shared" si="4"/>
        <v>0</v>
      </c>
      <c r="AV12" s="15">
        <f t="shared" si="34"/>
        <v>0</v>
      </c>
      <c r="AW12" s="39">
        <f t="shared" si="5"/>
        <v>576.92307692307691</v>
      </c>
      <c r="AX12" s="39">
        <f t="shared" si="18"/>
        <v>-576.92307692307691</v>
      </c>
      <c r="AY12" s="15">
        <f t="shared" si="6"/>
        <v>0</v>
      </c>
      <c r="AZ12" s="19">
        <f t="shared" si="35"/>
        <v>0.22</v>
      </c>
      <c r="BA12" s="19">
        <f t="shared" si="7"/>
        <v>0</v>
      </c>
      <c r="BB12" s="19">
        <f t="shared" si="19"/>
        <v>0</v>
      </c>
    </row>
    <row r="13" spans="1:58" ht="18.75" thickBot="1" x14ac:dyDescent="0.4">
      <c r="A13" s="59">
        <f t="shared" si="20"/>
        <v>46102</v>
      </c>
      <c r="B13" s="57"/>
      <c r="C13" s="49">
        <f t="shared" si="21"/>
        <v>0</v>
      </c>
      <c r="D13" s="29"/>
      <c r="E13" s="49">
        <f t="shared" si="22"/>
        <v>0</v>
      </c>
      <c r="F13" s="29"/>
      <c r="G13" s="49">
        <f t="shared" si="23"/>
        <v>0</v>
      </c>
      <c r="H13" s="30"/>
      <c r="I13" s="49">
        <f t="shared" si="24"/>
        <v>0</v>
      </c>
      <c r="J13" s="14">
        <f t="shared" si="8"/>
        <v>0</v>
      </c>
      <c r="K13" s="14">
        <f t="shared" si="37"/>
        <v>0</v>
      </c>
      <c r="L13" s="17">
        <f t="shared" si="25"/>
        <v>0</v>
      </c>
      <c r="M13" s="16">
        <f t="shared" si="26"/>
        <v>52</v>
      </c>
      <c r="N13" s="34"/>
      <c r="O13" s="25">
        <f t="shared" si="9"/>
        <v>0</v>
      </c>
      <c r="P13" s="15">
        <f t="shared" si="0"/>
        <v>0</v>
      </c>
      <c r="Q13" s="17">
        <f t="shared" si="36"/>
        <v>0</v>
      </c>
      <c r="R13" s="34">
        <f t="shared" si="27"/>
        <v>0.2</v>
      </c>
      <c r="S13" s="15" t="b">
        <f t="shared" si="10"/>
        <v>0</v>
      </c>
      <c r="T13" s="34">
        <f t="shared" si="11"/>
        <v>-0.2</v>
      </c>
      <c r="U13" s="15" t="b">
        <f t="shared" si="10"/>
        <v>0</v>
      </c>
      <c r="V13" s="34">
        <f t="shared" si="11"/>
        <v>0.1</v>
      </c>
      <c r="W13" s="34">
        <f t="shared" si="11"/>
        <v>-0.1</v>
      </c>
      <c r="X13" s="25">
        <f t="shared" si="28"/>
        <v>0</v>
      </c>
      <c r="Y13" s="18">
        <f t="shared" si="1"/>
        <v>0</v>
      </c>
      <c r="Z13" s="15">
        <f t="shared" si="2"/>
        <v>0</v>
      </c>
      <c r="AA13" s="15">
        <f t="shared" si="29"/>
        <v>0</v>
      </c>
      <c r="AB13" s="60">
        <v>1</v>
      </c>
      <c r="AC13" s="14">
        <f t="shared" si="30"/>
        <v>0</v>
      </c>
      <c r="AD13" s="15">
        <f t="shared" si="31"/>
        <v>0</v>
      </c>
      <c r="AE13" s="29"/>
      <c r="AF13" s="20">
        <f t="shared" si="12"/>
        <v>0</v>
      </c>
      <c r="AG13" s="10">
        <v>0.85</v>
      </c>
      <c r="AH13" s="29"/>
      <c r="AI13" s="20">
        <f t="shared" si="13"/>
        <v>0</v>
      </c>
      <c r="AJ13" s="29"/>
      <c r="AK13" s="20">
        <f t="shared" si="14"/>
        <v>0</v>
      </c>
      <c r="AL13" s="15">
        <f t="shared" si="32"/>
        <v>0</v>
      </c>
      <c r="AM13" s="15">
        <f t="shared" si="15"/>
        <v>0</v>
      </c>
      <c r="AN13" s="15">
        <v>0</v>
      </c>
      <c r="AO13" s="39">
        <f t="shared" si="16"/>
        <v>0</v>
      </c>
      <c r="AP13" s="15">
        <f t="shared" si="33"/>
        <v>0</v>
      </c>
      <c r="AQ13" s="34">
        <v>0</v>
      </c>
      <c r="AR13" s="15">
        <f t="shared" si="3"/>
        <v>0</v>
      </c>
      <c r="AS13" s="15">
        <f t="shared" si="17"/>
        <v>0</v>
      </c>
      <c r="AT13" s="34">
        <v>1</v>
      </c>
      <c r="AU13" s="15">
        <f t="shared" si="4"/>
        <v>0</v>
      </c>
      <c r="AV13" s="15">
        <f t="shared" si="34"/>
        <v>0</v>
      </c>
      <c r="AW13" s="39">
        <f t="shared" si="5"/>
        <v>576.92307692307691</v>
      </c>
      <c r="AX13" s="39">
        <f t="shared" si="18"/>
        <v>-576.92307692307691</v>
      </c>
      <c r="AY13" s="15">
        <f t="shared" si="6"/>
        <v>0</v>
      </c>
      <c r="AZ13" s="19">
        <f t="shared" si="35"/>
        <v>0.22</v>
      </c>
      <c r="BA13" s="19">
        <f t="shared" si="7"/>
        <v>0</v>
      </c>
      <c r="BB13" s="19">
        <f t="shared" si="19"/>
        <v>0</v>
      </c>
    </row>
    <row r="14" spans="1:58" ht="18.75" thickBot="1" x14ac:dyDescent="0.4">
      <c r="A14" s="59">
        <f t="shared" si="20"/>
        <v>46109</v>
      </c>
      <c r="B14" s="57"/>
      <c r="C14" s="49">
        <f t="shared" si="21"/>
        <v>0</v>
      </c>
      <c r="D14" s="29"/>
      <c r="E14" s="49">
        <f t="shared" si="22"/>
        <v>0</v>
      </c>
      <c r="F14" s="29"/>
      <c r="G14" s="49">
        <f t="shared" si="23"/>
        <v>0</v>
      </c>
      <c r="H14" s="30"/>
      <c r="I14" s="49">
        <f t="shared" si="24"/>
        <v>0</v>
      </c>
      <c r="J14" s="14">
        <f t="shared" si="8"/>
        <v>0</v>
      </c>
      <c r="K14" s="14">
        <f t="shared" si="37"/>
        <v>0</v>
      </c>
      <c r="L14" s="17">
        <f t="shared" si="25"/>
        <v>0</v>
      </c>
      <c r="M14" s="16">
        <f t="shared" si="26"/>
        <v>52</v>
      </c>
      <c r="N14" s="34"/>
      <c r="O14" s="25">
        <f t="shared" si="9"/>
        <v>0</v>
      </c>
      <c r="P14" s="15">
        <f t="shared" si="0"/>
        <v>0</v>
      </c>
      <c r="Q14" s="17">
        <f t="shared" si="36"/>
        <v>0</v>
      </c>
      <c r="R14" s="34">
        <f t="shared" si="27"/>
        <v>0.2</v>
      </c>
      <c r="S14" s="15" t="b">
        <f t="shared" si="10"/>
        <v>0</v>
      </c>
      <c r="T14" s="34">
        <f t="shared" si="11"/>
        <v>-0.2</v>
      </c>
      <c r="U14" s="15" t="b">
        <f t="shared" si="10"/>
        <v>0</v>
      </c>
      <c r="V14" s="34">
        <f t="shared" si="11"/>
        <v>0.1</v>
      </c>
      <c r="W14" s="34">
        <f t="shared" si="11"/>
        <v>-0.1</v>
      </c>
      <c r="X14" s="25">
        <f t="shared" si="28"/>
        <v>0</v>
      </c>
      <c r="Y14" s="18">
        <f t="shared" si="1"/>
        <v>0</v>
      </c>
      <c r="Z14" s="15">
        <f t="shared" si="2"/>
        <v>0</v>
      </c>
      <c r="AA14" s="15">
        <f t="shared" si="29"/>
        <v>0</v>
      </c>
      <c r="AB14" s="60">
        <v>1</v>
      </c>
      <c r="AC14" s="14">
        <f t="shared" si="30"/>
        <v>0</v>
      </c>
      <c r="AD14" s="15">
        <f t="shared" si="31"/>
        <v>0</v>
      </c>
      <c r="AE14" s="29"/>
      <c r="AF14" s="20">
        <f t="shared" si="12"/>
        <v>0</v>
      </c>
      <c r="AG14" s="10">
        <v>0.85</v>
      </c>
      <c r="AH14" s="29"/>
      <c r="AI14" s="20">
        <f t="shared" si="13"/>
        <v>0</v>
      </c>
      <c r="AJ14" s="29"/>
      <c r="AK14" s="20">
        <f t="shared" si="14"/>
        <v>0</v>
      </c>
      <c r="AL14" s="15">
        <f t="shared" si="32"/>
        <v>0</v>
      </c>
      <c r="AM14" s="15">
        <f t="shared" si="15"/>
        <v>0</v>
      </c>
      <c r="AN14" s="15">
        <v>0</v>
      </c>
      <c r="AO14" s="39">
        <f t="shared" si="16"/>
        <v>0</v>
      </c>
      <c r="AP14" s="15">
        <f t="shared" si="33"/>
        <v>0</v>
      </c>
      <c r="AQ14" s="34">
        <v>0</v>
      </c>
      <c r="AR14" s="15">
        <f t="shared" si="3"/>
        <v>0</v>
      </c>
      <c r="AS14" s="15">
        <f t="shared" si="17"/>
        <v>0</v>
      </c>
      <c r="AT14" s="34">
        <v>1</v>
      </c>
      <c r="AU14" s="15">
        <f t="shared" si="4"/>
        <v>0</v>
      </c>
      <c r="AV14" s="15">
        <f t="shared" si="34"/>
        <v>0</v>
      </c>
      <c r="AW14" s="39">
        <f t="shared" si="5"/>
        <v>576.92307692307691</v>
      </c>
      <c r="AX14" s="39">
        <f t="shared" si="18"/>
        <v>-576.92307692307691</v>
      </c>
      <c r="AY14" s="15">
        <f t="shared" si="6"/>
        <v>0</v>
      </c>
      <c r="AZ14" s="19">
        <f t="shared" si="35"/>
        <v>0.22</v>
      </c>
      <c r="BA14" s="19">
        <f t="shared" si="7"/>
        <v>0</v>
      </c>
      <c r="BB14" s="19">
        <f t="shared" si="19"/>
        <v>0</v>
      </c>
    </row>
    <row r="15" spans="1:58" ht="18.75" thickBot="1" x14ac:dyDescent="0.4">
      <c r="A15" s="59">
        <f t="shared" si="20"/>
        <v>46116</v>
      </c>
      <c r="B15" s="57"/>
      <c r="C15" s="49">
        <f t="shared" si="21"/>
        <v>0</v>
      </c>
      <c r="D15" s="29"/>
      <c r="E15" s="49">
        <f t="shared" si="22"/>
        <v>0</v>
      </c>
      <c r="F15" s="29"/>
      <c r="G15" s="49">
        <f t="shared" si="23"/>
        <v>0</v>
      </c>
      <c r="H15" s="30"/>
      <c r="I15" s="49">
        <f t="shared" si="24"/>
        <v>0</v>
      </c>
      <c r="J15" s="14">
        <f t="shared" si="8"/>
        <v>0</v>
      </c>
      <c r="K15" s="14">
        <f t="shared" si="37"/>
        <v>0</v>
      </c>
      <c r="L15" s="17">
        <f t="shared" si="25"/>
        <v>0</v>
      </c>
      <c r="M15" s="16">
        <f t="shared" si="26"/>
        <v>52</v>
      </c>
      <c r="N15" s="34"/>
      <c r="O15" s="25">
        <f t="shared" si="9"/>
        <v>0</v>
      </c>
      <c r="P15" s="15">
        <f t="shared" si="0"/>
        <v>0</v>
      </c>
      <c r="Q15" s="17">
        <f t="shared" si="36"/>
        <v>0</v>
      </c>
      <c r="R15" s="34">
        <f t="shared" si="27"/>
        <v>0.2</v>
      </c>
      <c r="S15" s="15" t="b">
        <f t="shared" si="10"/>
        <v>0</v>
      </c>
      <c r="T15" s="34">
        <f t="shared" si="11"/>
        <v>-0.2</v>
      </c>
      <c r="U15" s="15" t="b">
        <f t="shared" si="10"/>
        <v>0</v>
      </c>
      <c r="V15" s="34">
        <f t="shared" si="11"/>
        <v>0.1</v>
      </c>
      <c r="W15" s="34">
        <f t="shared" si="11"/>
        <v>-0.1</v>
      </c>
      <c r="X15" s="25">
        <f t="shared" si="28"/>
        <v>0</v>
      </c>
      <c r="Y15" s="18">
        <f t="shared" si="1"/>
        <v>0</v>
      </c>
      <c r="Z15" s="15">
        <f t="shared" si="2"/>
        <v>0</v>
      </c>
      <c r="AA15" s="15">
        <f t="shared" si="29"/>
        <v>0</v>
      </c>
      <c r="AB15" s="60">
        <v>1</v>
      </c>
      <c r="AC15" s="14">
        <f t="shared" si="30"/>
        <v>0</v>
      </c>
      <c r="AD15" s="15">
        <f t="shared" si="31"/>
        <v>0</v>
      </c>
      <c r="AE15" s="29"/>
      <c r="AF15" s="20">
        <f t="shared" si="12"/>
        <v>0</v>
      </c>
      <c r="AG15" s="10">
        <v>0.85</v>
      </c>
      <c r="AH15" s="29"/>
      <c r="AI15" s="20">
        <f t="shared" si="13"/>
        <v>0</v>
      </c>
      <c r="AJ15" s="29"/>
      <c r="AK15" s="20">
        <f t="shared" si="14"/>
        <v>0</v>
      </c>
      <c r="AL15" s="15">
        <f t="shared" si="32"/>
        <v>0</v>
      </c>
      <c r="AM15" s="15">
        <f t="shared" si="15"/>
        <v>0</v>
      </c>
      <c r="AN15" s="15">
        <v>0</v>
      </c>
      <c r="AO15" s="39">
        <f t="shared" si="16"/>
        <v>0</v>
      </c>
      <c r="AP15" s="15">
        <f t="shared" si="33"/>
        <v>0</v>
      </c>
      <c r="AQ15" s="34">
        <v>0</v>
      </c>
      <c r="AR15" s="15">
        <f t="shared" si="3"/>
        <v>0</v>
      </c>
      <c r="AS15" s="15">
        <f t="shared" si="17"/>
        <v>0</v>
      </c>
      <c r="AT15" s="34">
        <v>1</v>
      </c>
      <c r="AU15" s="15">
        <f t="shared" si="4"/>
        <v>0</v>
      </c>
      <c r="AV15" s="15">
        <f t="shared" si="34"/>
        <v>0</v>
      </c>
      <c r="AW15" s="39">
        <f t="shared" si="5"/>
        <v>576.92307692307691</v>
      </c>
      <c r="AX15" s="39">
        <f t="shared" si="18"/>
        <v>-576.92307692307691</v>
      </c>
      <c r="AY15" s="15">
        <f t="shared" si="6"/>
        <v>0</v>
      </c>
      <c r="AZ15" s="19">
        <f t="shared" si="35"/>
        <v>0.22</v>
      </c>
      <c r="BA15" s="19">
        <f t="shared" si="7"/>
        <v>0</v>
      </c>
      <c r="BB15" s="19">
        <f t="shared" si="19"/>
        <v>0</v>
      </c>
    </row>
    <row r="16" spans="1:58" ht="18.75" thickBot="1" x14ac:dyDescent="0.4">
      <c r="A16" s="59">
        <f t="shared" si="20"/>
        <v>46123</v>
      </c>
      <c r="B16" s="57"/>
      <c r="C16" s="49">
        <f t="shared" si="21"/>
        <v>0</v>
      </c>
      <c r="D16" s="29"/>
      <c r="E16" s="49">
        <f t="shared" si="22"/>
        <v>0</v>
      </c>
      <c r="F16" s="29"/>
      <c r="G16" s="49">
        <f t="shared" si="23"/>
        <v>0</v>
      </c>
      <c r="H16" s="30"/>
      <c r="I16" s="49">
        <f t="shared" si="24"/>
        <v>0</v>
      </c>
      <c r="J16" s="14">
        <f t="shared" si="8"/>
        <v>0</v>
      </c>
      <c r="K16" s="14">
        <f t="shared" si="37"/>
        <v>0</v>
      </c>
      <c r="L16" s="17">
        <f t="shared" si="25"/>
        <v>0</v>
      </c>
      <c r="M16" s="16">
        <f t="shared" si="26"/>
        <v>52</v>
      </c>
      <c r="N16" s="34"/>
      <c r="O16" s="25">
        <f t="shared" si="9"/>
        <v>0</v>
      </c>
      <c r="P16" s="15">
        <f t="shared" si="0"/>
        <v>0</v>
      </c>
      <c r="Q16" s="17">
        <f t="shared" si="36"/>
        <v>0</v>
      </c>
      <c r="R16" s="34">
        <f t="shared" si="27"/>
        <v>0.2</v>
      </c>
      <c r="S16" s="15" t="b">
        <f t="shared" si="10"/>
        <v>0</v>
      </c>
      <c r="T16" s="34">
        <f t="shared" si="11"/>
        <v>-0.2</v>
      </c>
      <c r="U16" s="15" t="b">
        <f t="shared" si="10"/>
        <v>0</v>
      </c>
      <c r="V16" s="34">
        <f t="shared" si="11"/>
        <v>0.1</v>
      </c>
      <c r="W16" s="34">
        <f t="shared" si="11"/>
        <v>-0.1</v>
      </c>
      <c r="X16" s="25">
        <f t="shared" si="28"/>
        <v>0</v>
      </c>
      <c r="Y16" s="18">
        <f t="shared" si="1"/>
        <v>0</v>
      </c>
      <c r="Z16" s="15">
        <f t="shared" si="2"/>
        <v>0</v>
      </c>
      <c r="AA16" s="15">
        <f t="shared" si="29"/>
        <v>0</v>
      </c>
      <c r="AB16" s="60">
        <v>1</v>
      </c>
      <c r="AC16" s="14">
        <f t="shared" si="30"/>
        <v>0</v>
      </c>
      <c r="AD16" s="15">
        <f t="shared" si="31"/>
        <v>0</v>
      </c>
      <c r="AE16" s="29"/>
      <c r="AF16" s="20">
        <f t="shared" si="12"/>
        <v>0</v>
      </c>
      <c r="AG16" s="10">
        <v>0.85</v>
      </c>
      <c r="AH16" s="29"/>
      <c r="AI16" s="20">
        <f t="shared" si="13"/>
        <v>0</v>
      </c>
      <c r="AJ16" s="29"/>
      <c r="AK16" s="20">
        <f t="shared" si="14"/>
        <v>0</v>
      </c>
      <c r="AL16" s="15">
        <f t="shared" si="32"/>
        <v>0</v>
      </c>
      <c r="AM16" s="15">
        <f t="shared" si="15"/>
        <v>0</v>
      </c>
      <c r="AN16" s="15">
        <v>0</v>
      </c>
      <c r="AO16" s="39">
        <f t="shared" si="16"/>
        <v>0</v>
      </c>
      <c r="AP16" s="15">
        <f t="shared" si="33"/>
        <v>0</v>
      </c>
      <c r="AQ16" s="34">
        <v>0</v>
      </c>
      <c r="AR16" s="15">
        <f t="shared" si="3"/>
        <v>0</v>
      </c>
      <c r="AS16" s="15">
        <f t="shared" si="17"/>
        <v>0</v>
      </c>
      <c r="AT16" s="34">
        <v>1</v>
      </c>
      <c r="AU16" s="15">
        <f t="shared" si="4"/>
        <v>0</v>
      </c>
      <c r="AV16" s="15">
        <f t="shared" si="34"/>
        <v>0</v>
      </c>
      <c r="AW16" s="39">
        <f t="shared" si="5"/>
        <v>576.92307692307691</v>
      </c>
      <c r="AX16" s="39">
        <f t="shared" si="18"/>
        <v>-576.92307692307691</v>
      </c>
      <c r="AY16" s="15">
        <f t="shared" si="6"/>
        <v>0</v>
      </c>
      <c r="AZ16" s="19">
        <f t="shared" si="35"/>
        <v>0.22</v>
      </c>
      <c r="BA16" s="19">
        <f t="shared" si="7"/>
        <v>0</v>
      </c>
      <c r="BB16" s="19">
        <f t="shared" si="19"/>
        <v>0</v>
      </c>
    </row>
    <row r="17" spans="1:54" s="21" customFormat="1" ht="18.75" thickBot="1" x14ac:dyDescent="0.4">
      <c r="A17" s="59">
        <f t="shared" si="20"/>
        <v>46130</v>
      </c>
      <c r="B17" s="57"/>
      <c r="C17" s="49">
        <f t="shared" si="21"/>
        <v>0</v>
      </c>
      <c r="D17" s="29"/>
      <c r="E17" s="49">
        <f t="shared" si="22"/>
        <v>0</v>
      </c>
      <c r="F17" s="29"/>
      <c r="G17" s="49">
        <f t="shared" si="23"/>
        <v>0</v>
      </c>
      <c r="H17" s="30"/>
      <c r="I17" s="49">
        <f t="shared" si="24"/>
        <v>0</v>
      </c>
      <c r="J17" s="14">
        <f t="shared" si="8"/>
        <v>0</v>
      </c>
      <c r="K17" s="14">
        <f t="shared" si="37"/>
        <v>0</v>
      </c>
      <c r="L17" s="17">
        <f t="shared" si="25"/>
        <v>0</v>
      </c>
      <c r="M17" s="16">
        <f t="shared" si="26"/>
        <v>52</v>
      </c>
      <c r="N17" s="34"/>
      <c r="O17" s="25">
        <f t="shared" si="9"/>
        <v>0</v>
      </c>
      <c r="P17" s="15">
        <f t="shared" si="0"/>
        <v>0</v>
      </c>
      <c r="Q17" s="17">
        <f t="shared" si="36"/>
        <v>0</v>
      </c>
      <c r="R17" s="34">
        <f t="shared" si="27"/>
        <v>0.2</v>
      </c>
      <c r="S17" s="15" t="b">
        <f t="shared" si="10"/>
        <v>0</v>
      </c>
      <c r="T17" s="34">
        <f t="shared" si="11"/>
        <v>-0.2</v>
      </c>
      <c r="U17" s="15" t="b">
        <f t="shared" si="10"/>
        <v>0</v>
      </c>
      <c r="V17" s="34">
        <f t="shared" si="11"/>
        <v>0.1</v>
      </c>
      <c r="W17" s="34">
        <f t="shared" si="11"/>
        <v>-0.1</v>
      </c>
      <c r="X17" s="25">
        <f t="shared" si="28"/>
        <v>0</v>
      </c>
      <c r="Y17" s="18">
        <f t="shared" si="1"/>
        <v>0</v>
      </c>
      <c r="Z17" s="15">
        <f t="shared" si="2"/>
        <v>0</v>
      </c>
      <c r="AA17" s="15">
        <f t="shared" si="29"/>
        <v>0</v>
      </c>
      <c r="AB17" s="60">
        <v>1</v>
      </c>
      <c r="AC17" s="14">
        <f t="shared" si="30"/>
        <v>0</v>
      </c>
      <c r="AD17" s="15">
        <f t="shared" si="31"/>
        <v>0</v>
      </c>
      <c r="AE17" s="29"/>
      <c r="AF17" s="20">
        <f t="shared" si="12"/>
        <v>0</v>
      </c>
      <c r="AG17" s="10">
        <v>0.85</v>
      </c>
      <c r="AH17" s="29"/>
      <c r="AI17" s="20">
        <f t="shared" si="13"/>
        <v>0</v>
      </c>
      <c r="AJ17" s="29"/>
      <c r="AK17" s="20">
        <f t="shared" si="14"/>
        <v>0</v>
      </c>
      <c r="AL17" s="15">
        <f t="shared" si="32"/>
        <v>0</v>
      </c>
      <c r="AM17" s="15">
        <f t="shared" si="15"/>
        <v>0</v>
      </c>
      <c r="AN17" s="15">
        <v>0</v>
      </c>
      <c r="AO17" s="39">
        <f t="shared" si="16"/>
        <v>0</v>
      </c>
      <c r="AP17" s="15">
        <f t="shared" si="33"/>
        <v>0</v>
      </c>
      <c r="AQ17" s="34">
        <v>0</v>
      </c>
      <c r="AR17" s="15">
        <f t="shared" si="3"/>
        <v>0</v>
      </c>
      <c r="AS17" s="15">
        <f t="shared" si="17"/>
        <v>0</v>
      </c>
      <c r="AT17" s="34">
        <v>1</v>
      </c>
      <c r="AU17" s="15">
        <f t="shared" si="4"/>
        <v>0</v>
      </c>
      <c r="AV17" s="15">
        <f t="shared" si="34"/>
        <v>0</v>
      </c>
      <c r="AW17" s="39">
        <f t="shared" si="5"/>
        <v>576.92307692307691</v>
      </c>
      <c r="AX17" s="39">
        <f t="shared" si="18"/>
        <v>-576.92307692307691</v>
      </c>
      <c r="AY17" s="15">
        <f t="shared" si="6"/>
        <v>0</v>
      </c>
      <c r="AZ17" s="19">
        <f t="shared" si="35"/>
        <v>0.22</v>
      </c>
      <c r="BA17" s="19">
        <f t="shared" si="7"/>
        <v>0</v>
      </c>
      <c r="BB17" s="19">
        <f t="shared" si="19"/>
        <v>0</v>
      </c>
    </row>
    <row r="18" spans="1:54" s="21" customFormat="1" ht="18.75" thickBot="1" x14ac:dyDescent="0.4">
      <c r="A18" s="59">
        <f t="shared" si="20"/>
        <v>46137</v>
      </c>
      <c r="B18" s="57"/>
      <c r="C18" s="49">
        <f t="shared" si="21"/>
        <v>0</v>
      </c>
      <c r="D18" s="29"/>
      <c r="E18" s="49">
        <f t="shared" si="22"/>
        <v>0</v>
      </c>
      <c r="F18" s="29"/>
      <c r="G18" s="49">
        <f t="shared" si="23"/>
        <v>0</v>
      </c>
      <c r="H18" s="30"/>
      <c r="I18" s="49">
        <f t="shared" si="24"/>
        <v>0</v>
      </c>
      <c r="J18" s="14">
        <f t="shared" si="8"/>
        <v>0</v>
      </c>
      <c r="K18" s="14">
        <f t="shared" si="37"/>
        <v>0</v>
      </c>
      <c r="L18" s="17">
        <f t="shared" si="25"/>
        <v>0</v>
      </c>
      <c r="M18" s="16">
        <f t="shared" si="26"/>
        <v>52</v>
      </c>
      <c r="N18" s="34"/>
      <c r="O18" s="25">
        <f t="shared" si="9"/>
        <v>0</v>
      </c>
      <c r="P18" s="15">
        <f t="shared" si="0"/>
        <v>0</v>
      </c>
      <c r="Q18" s="17">
        <f t="shared" si="36"/>
        <v>0</v>
      </c>
      <c r="R18" s="34">
        <f t="shared" si="27"/>
        <v>0.2</v>
      </c>
      <c r="S18" s="15" t="b">
        <f t="shared" si="10"/>
        <v>0</v>
      </c>
      <c r="T18" s="34">
        <f t="shared" si="11"/>
        <v>-0.2</v>
      </c>
      <c r="U18" s="15" t="b">
        <f t="shared" si="10"/>
        <v>0</v>
      </c>
      <c r="V18" s="34">
        <f t="shared" si="11"/>
        <v>0.1</v>
      </c>
      <c r="W18" s="34">
        <f t="shared" si="11"/>
        <v>-0.1</v>
      </c>
      <c r="X18" s="25">
        <f t="shared" si="28"/>
        <v>0</v>
      </c>
      <c r="Y18" s="18">
        <f t="shared" si="1"/>
        <v>0</v>
      </c>
      <c r="Z18" s="15">
        <f t="shared" si="2"/>
        <v>0</v>
      </c>
      <c r="AA18" s="15">
        <f t="shared" si="29"/>
        <v>0</v>
      </c>
      <c r="AB18" s="60">
        <v>1</v>
      </c>
      <c r="AC18" s="14">
        <f t="shared" si="30"/>
        <v>0</v>
      </c>
      <c r="AD18" s="15">
        <f t="shared" si="31"/>
        <v>0</v>
      </c>
      <c r="AE18" s="29"/>
      <c r="AF18" s="20">
        <f t="shared" si="12"/>
        <v>0</v>
      </c>
      <c r="AG18" s="10">
        <v>0.85</v>
      </c>
      <c r="AH18" s="29"/>
      <c r="AI18" s="20">
        <f t="shared" si="13"/>
        <v>0</v>
      </c>
      <c r="AJ18" s="29"/>
      <c r="AK18" s="20">
        <f t="shared" si="14"/>
        <v>0</v>
      </c>
      <c r="AL18" s="15">
        <f t="shared" si="32"/>
        <v>0</v>
      </c>
      <c r="AM18" s="15">
        <f t="shared" si="15"/>
        <v>0</v>
      </c>
      <c r="AN18" s="15">
        <v>0</v>
      </c>
      <c r="AO18" s="39">
        <f t="shared" si="16"/>
        <v>0</v>
      </c>
      <c r="AP18" s="15">
        <f t="shared" si="33"/>
        <v>0</v>
      </c>
      <c r="AQ18" s="34">
        <v>0</v>
      </c>
      <c r="AR18" s="15">
        <f t="shared" si="3"/>
        <v>0</v>
      </c>
      <c r="AS18" s="15">
        <f t="shared" si="17"/>
        <v>0</v>
      </c>
      <c r="AT18" s="34">
        <v>1</v>
      </c>
      <c r="AU18" s="15">
        <f t="shared" si="4"/>
        <v>0</v>
      </c>
      <c r="AV18" s="15">
        <f t="shared" si="34"/>
        <v>0</v>
      </c>
      <c r="AW18" s="39">
        <f t="shared" si="5"/>
        <v>576.92307692307691</v>
      </c>
      <c r="AX18" s="39">
        <f t="shared" si="18"/>
        <v>-576.92307692307691</v>
      </c>
      <c r="AY18" s="15">
        <f t="shared" si="6"/>
        <v>0</v>
      </c>
      <c r="AZ18" s="19">
        <f t="shared" si="35"/>
        <v>0.22</v>
      </c>
      <c r="BA18" s="19">
        <f t="shared" si="7"/>
        <v>0</v>
      </c>
      <c r="BB18" s="19">
        <f t="shared" si="19"/>
        <v>0</v>
      </c>
    </row>
    <row r="19" spans="1:54" s="21" customFormat="1" ht="18.75" thickBot="1" x14ac:dyDescent="0.4">
      <c r="A19" s="59">
        <f t="shared" si="20"/>
        <v>46144</v>
      </c>
      <c r="B19" s="57"/>
      <c r="C19" s="49">
        <f t="shared" si="21"/>
        <v>0</v>
      </c>
      <c r="D19" s="29"/>
      <c r="E19" s="49">
        <f t="shared" si="22"/>
        <v>0</v>
      </c>
      <c r="F19" s="29"/>
      <c r="G19" s="49">
        <f t="shared" si="23"/>
        <v>0</v>
      </c>
      <c r="H19" s="30"/>
      <c r="I19" s="49">
        <f t="shared" si="24"/>
        <v>0</v>
      </c>
      <c r="J19" s="14">
        <f t="shared" si="8"/>
        <v>0</v>
      </c>
      <c r="K19" s="14">
        <f t="shared" si="37"/>
        <v>0</v>
      </c>
      <c r="L19" s="17">
        <f t="shared" si="25"/>
        <v>0</v>
      </c>
      <c r="M19" s="16">
        <f t="shared" si="26"/>
        <v>52</v>
      </c>
      <c r="N19" s="34"/>
      <c r="O19" s="25">
        <f t="shared" si="9"/>
        <v>0</v>
      </c>
      <c r="P19" s="15">
        <f t="shared" si="0"/>
        <v>0</v>
      </c>
      <c r="Q19" s="17">
        <f t="shared" si="36"/>
        <v>0</v>
      </c>
      <c r="R19" s="34">
        <f t="shared" si="27"/>
        <v>0.2</v>
      </c>
      <c r="S19" s="15" t="b">
        <f t="shared" si="10"/>
        <v>0</v>
      </c>
      <c r="T19" s="34">
        <f t="shared" ref="T19:W26" si="38">T18</f>
        <v>-0.2</v>
      </c>
      <c r="U19" s="15" t="b">
        <f t="shared" si="10"/>
        <v>0</v>
      </c>
      <c r="V19" s="34">
        <f t="shared" si="38"/>
        <v>0.1</v>
      </c>
      <c r="W19" s="34">
        <f t="shared" si="38"/>
        <v>-0.1</v>
      </c>
      <c r="X19" s="25">
        <f t="shared" si="28"/>
        <v>0</v>
      </c>
      <c r="Y19" s="18">
        <f t="shared" si="1"/>
        <v>0</v>
      </c>
      <c r="Z19" s="15">
        <f t="shared" si="2"/>
        <v>0</v>
      </c>
      <c r="AA19" s="15">
        <f t="shared" si="29"/>
        <v>0</v>
      </c>
      <c r="AB19" s="60">
        <v>1</v>
      </c>
      <c r="AC19" s="14">
        <f t="shared" si="30"/>
        <v>0</v>
      </c>
      <c r="AD19" s="15">
        <f t="shared" si="31"/>
        <v>0</v>
      </c>
      <c r="AE19" s="29"/>
      <c r="AF19" s="20">
        <f t="shared" si="12"/>
        <v>0</v>
      </c>
      <c r="AG19" s="10">
        <v>0.85</v>
      </c>
      <c r="AH19" s="29"/>
      <c r="AI19" s="20">
        <f t="shared" si="13"/>
        <v>0</v>
      </c>
      <c r="AJ19" s="29"/>
      <c r="AK19" s="20">
        <f t="shared" si="14"/>
        <v>0</v>
      </c>
      <c r="AL19" s="15">
        <f t="shared" si="32"/>
        <v>0</v>
      </c>
      <c r="AM19" s="15">
        <f t="shared" si="15"/>
        <v>0</v>
      </c>
      <c r="AN19" s="15">
        <v>0</v>
      </c>
      <c r="AO19" s="39">
        <f t="shared" si="16"/>
        <v>0</v>
      </c>
      <c r="AP19" s="15">
        <f t="shared" si="33"/>
        <v>0</v>
      </c>
      <c r="AQ19" s="34">
        <v>0</v>
      </c>
      <c r="AR19" s="15">
        <f t="shared" si="3"/>
        <v>0</v>
      </c>
      <c r="AS19" s="15">
        <f t="shared" si="17"/>
        <v>0</v>
      </c>
      <c r="AT19" s="34">
        <v>1</v>
      </c>
      <c r="AU19" s="15">
        <f t="shared" si="4"/>
        <v>0</v>
      </c>
      <c r="AV19" s="15">
        <f t="shared" si="34"/>
        <v>0</v>
      </c>
      <c r="AW19" s="39">
        <f t="shared" si="5"/>
        <v>576.92307692307691</v>
      </c>
      <c r="AX19" s="39">
        <f t="shared" si="18"/>
        <v>-576.92307692307691</v>
      </c>
      <c r="AY19" s="15">
        <f t="shared" si="6"/>
        <v>0</v>
      </c>
      <c r="AZ19" s="19">
        <f t="shared" si="35"/>
        <v>0.22</v>
      </c>
      <c r="BA19" s="19">
        <f t="shared" si="7"/>
        <v>0</v>
      </c>
      <c r="BB19" s="19">
        <f t="shared" si="19"/>
        <v>0</v>
      </c>
    </row>
    <row r="20" spans="1:54" s="21" customFormat="1" ht="18.75" thickBot="1" x14ac:dyDescent="0.4">
      <c r="A20" s="59">
        <f t="shared" si="20"/>
        <v>46151</v>
      </c>
      <c r="B20" s="57"/>
      <c r="C20" s="49">
        <f t="shared" si="21"/>
        <v>0</v>
      </c>
      <c r="D20" s="29"/>
      <c r="E20" s="49">
        <f t="shared" si="22"/>
        <v>0</v>
      </c>
      <c r="F20" s="29"/>
      <c r="G20" s="49">
        <f t="shared" si="23"/>
        <v>0</v>
      </c>
      <c r="H20" s="30"/>
      <c r="I20" s="49">
        <f t="shared" si="24"/>
        <v>0</v>
      </c>
      <c r="J20" s="14">
        <f t="shared" si="8"/>
        <v>0</v>
      </c>
      <c r="K20" s="14">
        <f t="shared" si="37"/>
        <v>0</v>
      </c>
      <c r="L20" s="17">
        <f t="shared" si="25"/>
        <v>0</v>
      </c>
      <c r="M20" s="16">
        <f t="shared" si="26"/>
        <v>52</v>
      </c>
      <c r="N20" s="34"/>
      <c r="O20" s="25">
        <f t="shared" si="9"/>
        <v>0</v>
      </c>
      <c r="P20" s="15">
        <f t="shared" si="0"/>
        <v>0</v>
      </c>
      <c r="Q20" s="17">
        <f t="shared" si="36"/>
        <v>0</v>
      </c>
      <c r="R20" s="34">
        <f t="shared" si="27"/>
        <v>0.2</v>
      </c>
      <c r="S20" s="15" t="b">
        <f t="shared" si="10"/>
        <v>0</v>
      </c>
      <c r="T20" s="34">
        <f t="shared" si="38"/>
        <v>-0.2</v>
      </c>
      <c r="U20" s="15" t="b">
        <f t="shared" si="10"/>
        <v>0</v>
      </c>
      <c r="V20" s="34">
        <f t="shared" si="38"/>
        <v>0.1</v>
      </c>
      <c r="W20" s="34">
        <f t="shared" si="38"/>
        <v>-0.1</v>
      </c>
      <c r="X20" s="25">
        <f t="shared" si="28"/>
        <v>0</v>
      </c>
      <c r="Y20" s="18">
        <f t="shared" si="1"/>
        <v>0</v>
      </c>
      <c r="Z20" s="15">
        <f t="shared" si="2"/>
        <v>0</v>
      </c>
      <c r="AA20" s="15">
        <f t="shared" si="29"/>
        <v>0</v>
      </c>
      <c r="AB20" s="60">
        <v>1</v>
      </c>
      <c r="AC20" s="14">
        <f t="shared" si="30"/>
        <v>0</v>
      </c>
      <c r="AD20" s="15">
        <f t="shared" si="31"/>
        <v>0</v>
      </c>
      <c r="AE20" s="29"/>
      <c r="AF20" s="20">
        <f t="shared" si="12"/>
        <v>0</v>
      </c>
      <c r="AG20" s="10">
        <v>0.85</v>
      </c>
      <c r="AH20" s="29"/>
      <c r="AI20" s="20">
        <f t="shared" si="13"/>
        <v>0</v>
      </c>
      <c r="AJ20" s="29"/>
      <c r="AK20" s="20">
        <f t="shared" si="14"/>
        <v>0</v>
      </c>
      <c r="AL20" s="15">
        <f t="shared" si="32"/>
        <v>0</v>
      </c>
      <c r="AM20" s="15">
        <f t="shared" si="15"/>
        <v>0</v>
      </c>
      <c r="AN20" s="15">
        <v>0</v>
      </c>
      <c r="AO20" s="39">
        <f t="shared" si="16"/>
        <v>0</v>
      </c>
      <c r="AP20" s="15">
        <f t="shared" si="33"/>
        <v>0</v>
      </c>
      <c r="AQ20" s="34">
        <v>0</v>
      </c>
      <c r="AR20" s="15">
        <f t="shared" si="3"/>
        <v>0</v>
      </c>
      <c r="AS20" s="15">
        <f t="shared" si="17"/>
        <v>0</v>
      </c>
      <c r="AT20" s="34">
        <v>1</v>
      </c>
      <c r="AU20" s="15">
        <f t="shared" si="4"/>
        <v>0</v>
      </c>
      <c r="AV20" s="15">
        <f t="shared" si="34"/>
        <v>0</v>
      </c>
      <c r="AW20" s="39">
        <f t="shared" si="5"/>
        <v>576.92307692307691</v>
      </c>
      <c r="AX20" s="39">
        <f t="shared" si="18"/>
        <v>-576.92307692307691</v>
      </c>
      <c r="AY20" s="15">
        <f t="shared" si="6"/>
        <v>0</v>
      </c>
      <c r="AZ20" s="19">
        <f t="shared" si="35"/>
        <v>0.22</v>
      </c>
      <c r="BA20" s="19">
        <f t="shared" si="7"/>
        <v>0</v>
      </c>
      <c r="BB20" s="19">
        <f t="shared" si="19"/>
        <v>0</v>
      </c>
    </row>
    <row r="21" spans="1:54" s="21" customFormat="1" ht="18.75" thickBot="1" x14ac:dyDescent="0.4">
      <c r="A21" s="59">
        <f t="shared" si="20"/>
        <v>46158</v>
      </c>
      <c r="B21" s="57"/>
      <c r="C21" s="49">
        <f t="shared" si="21"/>
        <v>0</v>
      </c>
      <c r="D21" s="29"/>
      <c r="E21" s="49">
        <f t="shared" si="22"/>
        <v>0</v>
      </c>
      <c r="F21" s="29"/>
      <c r="G21" s="49">
        <f t="shared" si="23"/>
        <v>0</v>
      </c>
      <c r="H21" s="30"/>
      <c r="I21" s="49">
        <f t="shared" si="24"/>
        <v>0</v>
      </c>
      <c r="J21" s="14">
        <f t="shared" si="8"/>
        <v>0</v>
      </c>
      <c r="K21" s="14">
        <f t="shared" si="37"/>
        <v>0</v>
      </c>
      <c r="L21" s="17">
        <f t="shared" si="25"/>
        <v>0</v>
      </c>
      <c r="M21" s="16">
        <f t="shared" si="26"/>
        <v>52</v>
      </c>
      <c r="N21" s="34"/>
      <c r="O21" s="25">
        <f t="shared" si="9"/>
        <v>0</v>
      </c>
      <c r="P21" s="15">
        <f t="shared" si="0"/>
        <v>0</v>
      </c>
      <c r="Q21" s="17">
        <f t="shared" si="36"/>
        <v>0</v>
      </c>
      <c r="R21" s="34">
        <f t="shared" si="27"/>
        <v>0.2</v>
      </c>
      <c r="S21" s="15" t="b">
        <f t="shared" si="10"/>
        <v>0</v>
      </c>
      <c r="T21" s="34">
        <f t="shared" si="38"/>
        <v>-0.2</v>
      </c>
      <c r="U21" s="15" t="b">
        <f t="shared" si="10"/>
        <v>0</v>
      </c>
      <c r="V21" s="34">
        <f t="shared" si="38"/>
        <v>0.1</v>
      </c>
      <c r="W21" s="34">
        <f t="shared" si="38"/>
        <v>-0.1</v>
      </c>
      <c r="X21" s="25">
        <f t="shared" si="28"/>
        <v>0</v>
      </c>
      <c r="Y21" s="18">
        <f t="shared" si="1"/>
        <v>0</v>
      </c>
      <c r="Z21" s="15">
        <f t="shared" si="2"/>
        <v>0</v>
      </c>
      <c r="AA21" s="15">
        <f t="shared" si="29"/>
        <v>0</v>
      </c>
      <c r="AB21" s="60">
        <v>1</v>
      </c>
      <c r="AC21" s="14">
        <f t="shared" si="30"/>
        <v>0</v>
      </c>
      <c r="AD21" s="15">
        <f t="shared" si="31"/>
        <v>0</v>
      </c>
      <c r="AE21" s="29"/>
      <c r="AF21" s="20">
        <f t="shared" si="12"/>
        <v>0</v>
      </c>
      <c r="AG21" s="10">
        <v>0.85</v>
      </c>
      <c r="AH21" s="29"/>
      <c r="AI21" s="20">
        <f t="shared" si="13"/>
        <v>0</v>
      </c>
      <c r="AJ21" s="29"/>
      <c r="AK21" s="20">
        <f t="shared" si="14"/>
        <v>0</v>
      </c>
      <c r="AL21" s="15">
        <f t="shared" si="32"/>
        <v>0</v>
      </c>
      <c r="AM21" s="15">
        <f t="shared" si="15"/>
        <v>0</v>
      </c>
      <c r="AN21" s="15">
        <v>0</v>
      </c>
      <c r="AO21" s="39">
        <f t="shared" si="16"/>
        <v>0</v>
      </c>
      <c r="AP21" s="15">
        <f t="shared" si="33"/>
        <v>0</v>
      </c>
      <c r="AQ21" s="34">
        <v>0</v>
      </c>
      <c r="AR21" s="15">
        <f t="shared" si="3"/>
        <v>0</v>
      </c>
      <c r="AS21" s="15">
        <f t="shared" si="17"/>
        <v>0</v>
      </c>
      <c r="AT21" s="34">
        <v>1</v>
      </c>
      <c r="AU21" s="15">
        <f t="shared" si="4"/>
        <v>0</v>
      </c>
      <c r="AV21" s="15">
        <f t="shared" si="34"/>
        <v>0</v>
      </c>
      <c r="AW21" s="39">
        <f t="shared" si="5"/>
        <v>576.92307692307691</v>
      </c>
      <c r="AX21" s="39">
        <f t="shared" si="18"/>
        <v>-576.92307692307691</v>
      </c>
      <c r="AY21" s="15">
        <f t="shared" si="6"/>
        <v>0</v>
      </c>
      <c r="AZ21" s="19">
        <f t="shared" si="35"/>
        <v>0.22</v>
      </c>
      <c r="BA21" s="19">
        <f t="shared" si="7"/>
        <v>0</v>
      </c>
      <c r="BB21" s="19">
        <f t="shared" si="19"/>
        <v>0</v>
      </c>
    </row>
    <row r="22" spans="1:54" s="21" customFormat="1" ht="18.75" thickBot="1" x14ac:dyDescent="0.4">
      <c r="A22" s="59">
        <f t="shared" si="20"/>
        <v>46165</v>
      </c>
      <c r="B22" s="57"/>
      <c r="C22" s="49">
        <f t="shared" si="21"/>
        <v>0</v>
      </c>
      <c r="D22" s="29"/>
      <c r="E22" s="49">
        <f t="shared" si="22"/>
        <v>0</v>
      </c>
      <c r="F22" s="29"/>
      <c r="G22" s="49">
        <f t="shared" si="23"/>
        <v>0</v>
      </c>
      <c r="H22" s="30"/>
      <c r="I22" s="49">
        <f t="shared" si="24"/>
        <v>0</v>
      </c>
      <c r="J22" s="14">
        <f t="shared" si="8"/>
        <v>0</v>
      </c>
      <c r="K22" s="14">
        <f t="shared" si="37"/>
        <v>0</v>
      </c>
      <c r="L22" s="17">
        <f t="shared" si="25"/>
        <v>0</v>
      </c>
      <c r="M22" s="16">
        <f t="shared" si="26"/>
        <v>52</v>
      </c>
      <c r="N22" s="34"/>
      <c r="O22" s="25">
        <f t="shared" si="9"/>
        <v>0</v>
      </c>
      <c r="P22" s="15">
        <f t="shared" si="0"/>
        <v>0</v>
      </c>
      <c r="Q22" s="17">
        <f t="shared" si="36"/>
        <v>0</v>
      </c>
      <c r="R22" s="34">
        <f t="shared" si="27"/>
        <v>0.2</v>
      </c>
      <c r="S22" s="15" t="b">
        <f t="shared" si="10"/>
        <v>0</v>
      </c>
      <c r="T22" s="34">
        <f t="shared" si="38"/>
        <v>-0.2</v>
      </c>
      <c r="U22" s="15" t="b">
        <f t="shared" si="10"/>
        <v>0</v>
      </c>
      <c r="V22" s="34">
        <f t="shared" si="38"/>
        <v>0.1</v>
      </c>
      <c r="W22" s="34">
        <f t="shared" si="38"/>
        <v>-0.1</v>
      </c>
      <c r="X22" s="25">
        <f t="shared" si="28"/>
        <v>0</v>
      </c>
      <c r="Y22" s="18">
        <f t="shared" si="1"/>
        <v>0</v>
      </c>
      <c r="Z22" s="15">
        <f t="shared" si="2"/>
        <v>0</v>
      </c>
      <c r="AA22" s="15">
        <f t="shared" si="29"/>
        <v>0</v>
      </c>
      <c r="AB22" s="60">
        <v>1</v>
      </c>
      <c r="AC22" s="14">
        <f t="shared" si="30"/>
        <v>0</v>
      </c>
      <c r="AD22" s="15">
        <f t="shared" si="31"/>
        <v>0</v>
      </c>
      <c r="AE22" s="29"/>
      <c r="AF22" s="20">
        <f t="shared" si="12"/>
        <v>0</v>
      </c>
      <c r="AG22" s="10">
        <v>0.85</v>
      </c>
      <c r="AH22" s="29"/>
      <c r="AI22" s="20">
        <f t="shared" si="13"/>
        <v>0</v>
      </c>
      <c r="AJ22" s="29"/>
      <c r="AK22" s="20">
        <f t="shared" si="14"/>
        <v>0</v>
      </c>
      <c r="AL22" s="15">
        <f t="shared" si="32"/>
        <v>0</v>
      </c>
      <c r="AM22" s="15">
        <f t="shared" si="15"/>
        <v>0</v>
      </c>
      <c r="AN22" s="15">
        <v>0</v>
      </c>
      <c r="AO22" s="39">
        <f t="shared" si="16"/>
        <v>0</v>
      </c>
      <c r="AP22" s="15">
        <f t="shared" si="33"/>
        <v>0</v>
      </c>
      <c r="AQ22" s="34">
        <v>0</v>
      </c>
      <c r="AR22" s="15">
        <f t="shared" si="3"/>
        <v>0</v>
      </c>
      <c r="AS22" s="15">
        <f t="shared" si="17"/>
        <v>0</v>
      </c>
      <c r="AT22" s="34">
        <v>1</v>
      </c>
      <c r="AU22" s="15">
        <f t="shared" si="4"/>
        <v>0</v>
      </c>
      <c r="AV22" s="15">
        <f t="shared" si="34"/>
        <v>0</v>
      </c>
      <c r="AW22" s="39">
        <f t="shared" si="5"/>
        <v>576.92307692307691</v>
      </c>
      <c r="AX22" s="39">
        <f t="shared" si="18"/>
        <v>-576.92307692307691</v>
      </c>
      <c r="AY22" s="15">
        <f t="shared" si="6"/>
        <v>0</v>
      </c>
      <c r="AZ22" s="19">
        <f t="shared" si="35"/>
        <v>0.22</v>
      </c>
      <c r="BA22" s="19">
        <f t="shared" si="7"/>
        <v>0</v>
      </c>
      <c r="BB22" s="19">
        <f t="shared" si="19"/>
        <v>0</v>
      </c>
    </row>
    <row r="23" spans="1:54" s="21" customFormat="1" ht="18.75" thickBot="1" x14ac:dyDescent="0.4">
      <c r="A23" s="59">
        <f t="shared" si="20"/>
        <v>46172</v>
      </c>
      <c r="B23" s="57"/>
      <c r="C23" s="49">
        <f t="shared" si="21"/>
        <v>0</v>
      </c>
      <c r="D23" s="29"/>
      <c r="E23" s="49">
        <f t="shared" si="22"/>
        <v>0</v>
      </c>
      <c r="F23" s="29"/>
      <c r="G23" s="49">
        <f t="shared" si="23"/>
        <v>0</v>
      </c>
      <c r="H23" s="30"/>
      <c r="I23" s="49">
        <f t="shared" si="24"/>
        <v>0</v>
      </c>
      <c r="J23" s="14">
        <f t="shared" si="8"/>
        <v>0</v>
      </c>
      <c r="K23" s="14">
        <f t="shared" si="37"/>
        <v>0</v>
      </c>
      <c r="L23" s="17">
        <f t="shared" si="25"/>
        <v>0</v>
      </c>
      <c r="M23" s="16">
        <f t="shared" si="26"/>
        <v>52</v>
      </c>
      <c r="N23" s="34"/>
      <c r="O23" s="25">
        <f t="shared" si="9"/>
        <v>0</v>
      </c>
      <c r="P23" s="15">
        <f t="shared" si="0"/>
        <v>0</v>
      </c>
      <c r="Q23" s="17">
        <f t="shared" si="36"/>
        <v>0</v>
      </c>
      <c r="R23" s="34">
        <f t="shared" si="27"/>
        <v>0.2</v>
      </c>
      <c r="S23" s="15" t="b">
        <f t="shared" si="10"/>
        <v>0</v>
      </c>
      <c r="T23" s="34">
        <f t="shared" si="38"/>
        <v>-0.2</v>
      </c>
      <c r="U23" s="15" t="b">
        <f t="shared" si="10"/>
        <v>0</v>
      </c>
      <c r="V23" s="34">
        <f t="shared" si="38"/>
        <v>0.1</v>
      </c>
      <c r="W23" s="34">
        <f t="shared" si="38"/>
        <v>-0.1</v>
      </c>
      <c r="X23" s="25">
        <f t="shared" si="28"/>
        <v>0</v>
      </c>
      <c r="Y23" s="18">
        <f t="shared" si="1"/>
        <v>0</v>
      </c>
      <c r="Z23" s="15">
        <f t="shared" si="2"/>
        <v>0</v>
      </c>
      <c r="AA23" s="15">
        <f t="shared" si="29"/>
        <v>0</v>
      </c>
      <c r="AB23" s="60">
        <v>1</v>
      </c>
      <c r="AC23" s="14">
        <f t="shared" si="30"/>
        <v>0</v>
      </c>
      <c r="AD23" s="15">
        <f t="shared" si="31"/>
        <v>0</v>
      </c>
      <c r="AE23" s="29"/>
      <c r="AF23" s="20">
        <f t="shared" si="12"/>
        <v>0</v>
      </c>
      <c r="AG23" s="10">
        <v>0.85</v>
      </c>
      <c r="AH23" s="29"/>
      <c r="AI23" s="20">
        <f t="shared" si="13"/>
        <v>0</v>
      </c>
      <c r="AJ23" s="29"/>
      <c r="AK23" s="20">
        <f t="shared" si="14"/>
        <v>0</v>
      </c>
      <c r="AL23" s="15">
        <f t="shared" si="32"/>
        <v>0</v>
      </c>
      <c r="AM23" s="15">
        <f t="shared" si="15"/>
        <v>0</v>
      </c>
      <c r="AN23" s="15">
        <v>0</v>
      </c>
      <c r="AO23" s="39">
        <f t="shared" si="16"/>
        <v>0</v>
      </c>
      <c r="AP23" s="15">
        <f t="shared" si="33"/>
        <v>0</v>
      </c>
      <c r="AQ23" s="34">
        <v>0</v>
      </c>
      <c r="AR23" s="15">
        <f t="shared" si="3"/>
        <v>0</v>
      </c>
      <c r="AS23" s="15">
        <f t="shared" si="17"/>
        <v>0</v>
      </c>
      <c r="AT23" s="34">
        <v>1</v>
      </c>
      <c r="AU23" s="15">
        <f t="shared" si="4"/>
        <v>0</v>
      </c>
      <c r="AV23" s="15">
        <f t="shared" si="34"/>
        <v>0</v>
      </c>
      <c r="AW23" s="39">
        <f t="shared" si="5"/>
        <v>576.92307692307691</v>
      </c>
      <c r="AX23" s="39">
        <f t="shared" si="18"/>
        <v>-576.92307692307691</v>
      </c>
      <c r="AY23" s="15">
        <f t="shared" si="6"/>
        <v>0</v>
      </c>
      <c r="AZ23" s="19">
        <f t="shared" si="35"/>
        <v>0.22</v>
      </c>
      <c r="BA23" s="19">
        <f t="shared" si="7"/>
        <v>0</v>
      </c>
      <c r="BB23" s="19">
        <f t="shared" si="19"/>
        <v>0</v>
      </c>
    </row>
    <row r="24" spans="1:54" s="21" customFormat="1" ht="18.75" thickBot="1" x14ac:dyDescent="0.4">
      <c r="A24" s="59">
        <f t="shared" si="20"/>
        <v>46179</v>
      </c>
      <c r="B24" s="57"/>
      <c r="C24" s="49">
        <f t="shared" si="21"/>
        <v>0</v>
      </c>
      <c r="D24" s="29"/>
      <c r="E24" s="49">
        <f t="shared" si="22"/>
        <v>0</v>
      </c>
      <c r="F24" s="29"/>
      <c r="G24" s="49">
        <f t="shared" si="23"/>
        <v>0</v>
      </c>
      <c r="H24" s="30"/>
      <c r="I24" s="49">
        <f t="shared" si="24"/>
        <v>0</v>
      </c>
      <c r="J24" s="14">
        <f t="shared" si="8"/>
        <v>0</v>
      </c>
      <c r="K24" s="14">
        <f t="shared" si="37"/>
        <v>0</v>
      </c>
      <c r="L24" s="17">
        <f t="shared" si="25"/>
        <v>0</v>
      </c>
      <c r="M24" s="16">
        <f t="shared" si="26"/>
        <v>52</v>
      </c>
      <c r="N24" s="34"/>
      <c r="O24" s="25">
        <f t="shared" si="9"/>
        <v>0</v>
      </c>
      <c r="P24" s="15">
        <f t="shared" si="0"/>
        <v>0</v>
      </c>
      <c r="Q24" s="17">
        <f t="shared" si="36"/>
        <v>0</v>
      </c>
      <c r="R24" s="34">
        <f t="shared" si="27"/>
        <v>0.2</v>
      </c>
      <c r="S24" s="15" t="b">
        <f t="shared" si="10"/>
        <v>0</v>
      </c>
      <c r="T24" s="34">
        <f t="shared" si="38"/>
        <v>-0.2</v>
      </c>
      <c r="U24" s="15" t="b">
        <f t="shared" si="10"/>
        <v>0</v>
      </c>
      <c r="V24" s="34">
        <f t="shared" si="38"/>
        <v>0.1</v>
      </c>
      <c r="W24" s="34">
        <f t="shared" si="38"/>
        <v>-0.1</v>
      </c>
      <c r="X24" s="25">
        <f t="shared" si="28"/>
        <v>0</v>
      </c>
      <c r="Y24" s="18">
        <f t="shared" si="1"/>
        <v>0</v>
      </c>
      <c r="Z24" s="15">
        <f t="shared" si="2"/>
        <v>0</v>
      </c>
      <c r="AA24" s="15">
        <f t="shared" si="29"/>
        <v>0</v>
      </c>
      <c r="AB24" s="60">
        <v>1</v>
      </c>
      <c r="AC24" s="14">
        <f t="shared" si="30"/>
        <v>0</v>
      </c>
      <c r="AD24" s="15">
        <f t="shared" si="31"/>
        <v>0</v>
      </c>
      <c r="AE24" s="29"/>
      <c r="AF24" s="20">
        <f t="shared" si="12"/>
        <v>0</v>
      </c>
      <c r="AG24" s="10">
        <v>0.85</v>
      </c>
      <c r="AH24" s="29"/>
      <c r="AI24" s="20">
        <f t="shared" si="13"/>
        <v>0</v>
      </c>
      <c r="AJ24" s="29"/>
      <c r="AK24" s="20">
        <f t="shared" si="14"/>
        <v>0</v>
      </c>
      <c r="AL24" s="15">
        <f t="shared" si="32"/>
        <v>0</v>
      </c>
      <c r="AM24" s="15">
        <f t="shared" si="15"/>
        <v>0</v>
      </c>
      <c r="AN24" s="15">
        <v>0</v>
      </c>
      <c r="AO24" s="39">
        <f t="shared" si="16"/>
        <v>0</v>
      </c>
      <c r="AP24" s="15">
        <f t="shared" si="33"/>
        <v>0</v>
      </c>
      <c r="AQ24" s="34">
        <v>0</v>
      </c>
      <c r="AR24" s="15">
        <f t="shared" si="3"/>
        <v>0</v>
      </c>
      <c r="AS24" s="15">
        <f t="shared" si="17"/>
        <v>0</v>
      </c>
      <c r="AT24" s="34">
        <v>1</v>
      </c>
      <c r="AU24" s="15">
        <f t="shared" si="4"/>
        <v>0</v>
      </c>
      <c r="AV24" s="15">
        <f t="shared" si="34"/>
        <v>0</v>
      </c>
      <c r="AW24" s="39">
        <f t="shared" si="5"/>
        <v>576.92307692307691</v>
      </c>
      <c r="AX24" s="39">
        <f t="shared" si="18"/>
        <v>-576.92307692307691</v>
      </c>
      <c r="AY24" s="15">
        <f t="shared" si="6"/>
        <v>0</v>
      </c>
      <c r="AZ24" s="19">
        <f t="shared" si="35"/>
        <v>0.22</v>
      </c>
      <c r="BA24" s="19">
        <f t="shared" si="7"/>
        <v>0</v>
      </c>
      <c r="BB24" s="19">
        <f t="shared" si="19"/>
        <v>0</v>
      </c>
    </row>
    <row r="25" spans="1:54" s="21" customFormat="1" ht="18.75" thickBot="1" x14ac:dyDescent="0.4">
      <c r="A25" s="59">
        <f t="shared" si="20"/>
        <v>46186</v>
      </c>
      <c r="B25" s="57"/>
      <c r="C25" s="49">
        <f t="shared" si="21"/>
        <v>0</v>
      </c>
      <c r="D25" s="29"/>
      <c r="E25" s="49">
        <f t="shared" si="22"/>
        <v>0</v>
      </c>
      <c r="F25" s="29"/>
      <c r="G25" s="49">
        <f t="shared" si="23"/>
        <v>0</v>
      </c>
      <c r="H25" s="30"/>
      <c r="I25" s="49">
        <f t="shared" si="24"/>
        <v>0</v>
      </c>
      <c r="J25" s="14">
        <f t="shared" si="8"/>
        <v>0</v>
      </c>
      <c r="K25" s="14">
        <f t="shared" si="37"/>
        <v>0</v>
      </c>
      <c r="L25" s="17">
        <f t="shared" si="25"/>
        <v>0</v>
      </c>
      <c r="M25" s="16">
        <f t="shared" si="26"/>
        <v>52</v>
      </c>
      <c r="N25" s="34"/>
      <c r="O25" s="25">
        <f t="shared" si="9"/>
        <v>0</v>
      </c>
      <c r="P25" s="15">
        <f t="shared" si="0"/>
        <v>0</v>
      </c>
      <c r="Q25" s="17">
        <f t="shared" si="36"/>
        <v>0</v>
      </c>
      <c r="R25" s="34">
        <f t="shared" si="27"/>
        <v>0.2</v>
      </c>
      <c r="S25" s="15" t="b">
        <f t="shared" si="10"/>
        <v>0</v>
      </c>
      <c r="T25" s="34">
        <f t="shared" si="38"/>
        <v>-0.2</v>
      </c>
      <c r="U25" s="15" t="b">
        <f t="shared" si="10"/>
        <v>0</v>
      </c>
      <c r="V25" s="34">
        <f t="shared" si="38"/>
        <v>0.1</v>
      </c>
      <c r="W25" s="34">
        <f t="shared" si="38"/>
        <v>-0.1</v>
      </c>
      <c r="X25" s="25">
        <f t="shared" si="28"/>
        <v>0</v>
      </c>
      <c r="Y25" s="18">
        <f t="shared" si="1"/>
        <v>0</v>
      </c>
      <c r="Z25" s="15">
        <f t="shared" si="2"/>
        <v>0</v>
      </c>
      <c r="AA25" s="15">
        <f t="shared" si="29"/>
        <v>0</v>
      </c>
      <c r="AB25" s="60">
        <v>1</v>
      </c>
      <c r="AC25" s="14">
        <f t="shared" si="30"/>
        <v>0</v>
      </c>
      <c r="AD25" s="15">
        <f t="shared" si="31"/>
        <v>0</v>
      </c>
      <c r="AE25" s="29"/>
      <c r="AF25" s="20">
        <f t="shared" si="12"/>
        <v>0</v>
      </c>
      <c r="AG25" s="10">
        <v>0.85</v>
      </c>
      <c r="AH25" s="29"/>
      <c r="AI25" s="20">
        <f t="shared" si="13"/>
        <v>0</v>
      </c>
      <c r="AJ25" s="29"/>
      <c r="AK25" s="20">
        <f t="shared" si="14"/>
        <v>0</v>
      </c>
      <c r="AL25" s="15">
        <f t="shared" si="32"/>
        <v>0</v>
      </c>
      <c r="AM25" s="15">
        <f t="shared" si="15"/>
        <v>0</v>
      </c>
      <c r="AN25" s="15">
        <v>0</v>
      </c>
      <c r="AO25" s="39">
        <f t="shared" si="16"/>
        <v>0</v>
      </c>
      <c r="AP25" s="15">
        <f t="shared" si="33"/>
        <v>0</v>
      </c>
      <c r="AQ25" s="34">
        <v>0</v>
      </c>
      <c r="AR25" s="15">
        <f t="shared" si="3"/>
        <v>0</v>
      </c>
      <c r="AS25" s="15">
        <f t="shared" si="17"/>
        <v>0</v>
      </c>
      <c r="AT25" s="34">
        <v>1</v>
      </c>
      <c r="AU25" s="15">
        <f t="shared" si="4"/>
        <v>0</v>
      </c>
      <c r="AV25" s="15">
        <f t="shared" si="34"/>
        <v>0</v>
      </c>
      <c r="AW25" s="39">
        <f t="shared" si="5"/>
        <v>576.92307692307691</v>
      </c>
      <c r="AX25" s="39">
        <f t="shared" si="18"/>
        <v>-576.92307692307691</v>
      </c>
      <c r="AY25" s="15">
        <f t="shared" si="6"/>
        <v>0</v>
      </c>
      <c r="AZ25" s="19">
        <f t="shared" si="35"/>
        <v>0.22</v>
      </c>
      <c r="BA25" s="19">
        <f t="shared" si="7"/>
        <v>0</v>
      </c>
      <c r="BB25" s="19">
        <f t="shared" si="19"/>
        <v>0</v>
      </c>
    </row>
    <row r="26" spans="1:54" s="21" customFormat="1" ht="18.75" thickBot="1" x14ac:dyDescent="0.4">
      <c r="A26" s="59">
        <f t="shared" si="20"/>
        <v>46193</v>
      </c>
      <c r="B26" s="57"/>
      <c r="C26" s="49">
        <f t="shared" si="21"/>
        <v>0</v>
      </c>
      <c r="D26" s="29"/>
      <c r="E26" s="49">
        <f t="shared" si="22"/>
        <v>0</v>
      </c>
      <c r="F26" s="29"/>
      <c r="G26" s="49">
        <f t="shared" si="23"/>
        <v>0</v>
      </c>
      <c r="H26" s="30"/>
      <c r="I26" s="49">
        <f t="shared" si="24"/>
        <v>0</v>
      </c>
      <c r="J26" s="14">
        <f t="shared" si="8"/>
        <v>0</v>
      </c>
      <c r="K26" s="14">
        <f t="shared" si="37"/>
        <v>0</v>
      </c>
      <c r="L26" s="17">
        <f t="shared" si="25"/>
        <v>0</v>
      </c>
      <c r="M26" s="16">
        <f t="shared" si="26"/>
        <v>52</v>
      </c>
      <c r="N26" s="34"/>
      <c r="O26" s="25">
        <f t="shared" si="9"/>
        <v>0</v>
      </c>
      <c r="P26" s="15">
        <f t="shared" si="0"/>
        <v>0</v>
      </c>
      <c r="Q26" s="17">
        <f t="shared" si="36"/>
        <v>0</v>
      </c>
      <c r="R26" s="34">
        <f t="shared" si="27"/>
        <v>0.2</v>
      </c>
      <c r="S26" s="15" t="b">
        <f t="shared" si="10"/>
        <v>0</v>
      </c>
      <c r="T26" s="34">
        <f t="shared" si="38"/>
        <v>-0.2</v>
      </c>
      <c r="U26" s="15" t="b">
        <f t="shared" si="10"/>
        <v>0</v>
      </c>
      <c r="V26" s="34">
        <f t="shared" si="38"/>
        <v>0.1</v>
      </c>
      <c r="W26" s="34">
        <f t="shared" si="38"/>
        <v>-0.1</v>
      </c>
      <c r="X26" s="25">
        <f t="shared" si="28"/>
        <v>0</v>
      </c>
      <c r="Y26" s="18">
        <f t="shared" si="1"/>
        <v>0</v>
      </c>
      <c r="Z26" s="15">
        <f t="shared" si="2"/>
        <v>0</v>
      </c>
      <c r="AA26" s="15">
        <f t="shared" si="29"/>
        <v>0</v>
      </c>
      <c r="AB26" s="60">
        <v>1</v>
      </c>
      <c r="AC26" s="14">
        <f t="shared" si="30"/>
        <v>0</v>
      </c>
      <c r="AD26" s="15">
        <f t="shared" si="31"/>
        <v>0</v>
      </c>
      <c r="AE26" s="29"/>
      <c r="AF26" s="20">
        <f t="shared" si="12"/>
        <v>0</v>
      </c>
      <c r="AG26" s="10">
        <v>0.85</v>
      </c>
      <c r="AH26" s="29"/>
      <c r="AI26" s="20">
        <f t="shared" si="13"/>
        <v>0</v>
      </c>
      <c r="AJ26" s="29"/>
      <c r="AK26" s="20">
        <f t="shared" si="14"/>
        <v>0</v>
      </c>
      <c r="AL26" s="15">
        <f t="shared" si="32"/>
        <v>0</v>
      </c>
      <c r="AM26" s="15">
        <f t="shared" si="15"/>
        <v>0</v>
      </c>
      <c r="AN26" s="15">
        <v>0</v>
      </c>
      <c r="AO26" s="39">
        <f t="shared" si="16"/>
        <v>0</v>
      </c>
      <c r="AP26" s="15">
        <f t="shared" si="33"/>
        <v>0</v>
      </c>
      <c r="AQ26" s="34">
        <v>0</v>
      </c>
      <c r="AR26" s="15">
        <f t="shared" si="3"/>
        <v>0</v>
      </c>
      <c r="AS26" s="15">
        <f t="shared" si="17"/>
        <v>0</v>
      </c>
      <c r="AT26" s="34">
        <v>1</v>
      </c>
      <c r="AU26" s="15">
        <f t="shared" si="4"/>
        <v>0</v>
      </c>
      <c r="AV26" s="15">
        <f t="shared" si="34"/>
        <v>0</v>
      </c>
      <c r="AW26" s="39">
        <f t="shared" si="5"/>
        <v>576.92307692307691</v>
      </c>
      <c r="AX26" s="39">
        <f t="shared" si="18"/>
        <v>-576.92307692307691</v>
      </c>
      <c r="AY26" s="15">
        <f t="shared" si="6"/>
        <v>0</v>
      </c>
      <c r="AZ26" s="19">
        <f t="shared" si="35"/>
        <v>0.22</v>
      </c>
      <c r="BA26" s="19">
        <f t="shared" si="7"/>
        <v>0</v>
      </c>
      <c r="BB26" s="19">
        <f t="shared" si="19"/>
        <v>0</v>
      </c>
    </row>
    <row r="27" spans="1:54" s="21" customFormat="1" ht="18.75" thickBot="1" x14ac:dyDescent="0.4">
      <c r="A27" s="59">
        <f t="shared" si="20"/>
        <v>46200</v>
      </c>
      <c r="B27" s="57"/>
      <c r="C27" s="49">
        <f t="shared" si="21"/>
        <v>0</v>
      </c>
      <c r="D27" s="29"/>
      <c r="E27" s="49">
        <f t="shared" si="22"/>
        <v>0</v>
      </c>
      <c r="F27" s="29"/>
      <c r="G27" s="49">
        <f t="shared" si="23"/>
        <v>0</v>
      </c>
      <c r="H27" s="30"/>
      <c r="I27" s="49">
        <f t="shared" si="24"/>
        <v>0</v>
      </c>
      <c r="J27" s="14">
        <f t="shared" si="8"/>
        <v>0</v>
      </c>
      <c r="K27" s="14">
        <f t="shared" si="37"/>
        <v>0</v>
      </c>
      <c r="L27" s="17">
        <f>IF(J27=0,0,K27/J25)</f>
        <v>0</v>
      </c>
      <c r="M27" s="16">
        <f>M25</f>
        <v>52</v>
      </c>
      <c r="N27" s="34"/>
      <c r="O27" s="25">
        <f t="shared" si="9"/>
        <v>0</v>
      </c>
      <c r="P27" s="15">
        <f t="shared" si="0"/>
        <v>0</v>
      </c>
      <c r="Q27" s="17">
        <f t="shared" si="36"/>
        <v>0</v>
      </c>
      <c r="R27" s="34">
        <f>R25</f>
        <v>0.2</v>
      </c>
      <c r="S27" s="15" t="b">
        <f t="shared" si="10"/>
        <v>0</v>
      </c>
      <c r="T27" s="34">
        <f>T25</f>
        <v>-0.2</v>
      </c>
      <c r="U27" s="15" t="b">
        <f t="shared" si="10"/>
        <v>0</v>
      </c>
      <c r="V27" s="34">
        <f>V25</f>
        <v>0.1</v>
      </c>
      <c r="W27" s="34">
        <f>W25</f>
        <v>-0.1</v>
      </c>
      <c r="X27" s="25">
        <f t="shared" si="28"/>
        <v>0</v>
      </c>
      <c r="Y27" s="18">
        <f t="shared" si="1"/>
        <v>0</v>
      </c>
      <c r="Z27" s="15">
        <f t="shared" si="2"/>
        <v>0</v>
      </c>
      <c r="AA27" s="15">
        <f t="shared" si="29"/>
        <v>0</v>
      </c>
      <c r="AB27" s="60">
        <v>1</v>
      </c>
      <c r="AC27" s="14">
        <f>AC25</f>
        <v>0</v>
      </c>
      <c r="AD27" s="15">
        <f t="shared" si="31"/>
        <v>0</v>
      </c>
      <c r="AE27" s="29"/>
      <c r="AF27" s="20">
        <f>AF25+AE27</f>
        <v>0</v>
      </c>
      <c r="AG27" s="10">
        <v>0.85</v>
      </c>
      <c r="AH27" s="29"/>
      <c r="AI27" s="20">
        <f>AI25+AH27</f>
        <v>0</v>
      </c>
      <c r="AJ27" s="29"/>
      <c r="AK27" s="20">
        <f>AK25+AJ27</f>
        <v>0</v>
      </c>
      <c r="AL27" s="15">
        <f>Z27+AC27+AE27+AH27+AJ27</f>
        <v>0</v>
      </c>
      <c r="AM27" s="15">
        <f t="shared" si="15"/>
        <v>0</v>
      </c>
      <c r="AN27" s="15">
        <v>0</v>
      </c>
      <c r="AO27" s="39">
        <f t="shared" si="16"/>
        <v>0</v>
      </c>
      <c r="AP27" s="15">
        <f t="shared" si="33"/>
        <v>0</v>
      </c>
      <c r="AQ27" s="34">
        <v>0</v>
      </c>
      <c r="AR27" s="15">
        <f t="shared" si="3"/>
        <v>0</v>
      </c>
      <c r="AS27" s="15">
        <f t="shared" si="17"/>
        <v>0</v>
      </c>
      <c r="AT27" s="34">
        <v>1</v>
      </c>
      <c r="AU27" s="15">
        <f t="shared" si="4"/>
        <v>0</v>
      </c>
      <c r="AV27" s="15">
        <f t="shared" si="34"/>
        <v>0</v>
      </c>
      <c r="AW27" s="39">
        <f t="shared" si="5"/>
        <v>576.92307692307691</v>
      </c>
      <c r="AX27" s="39">
        <f t="shared" si="18"/>
        <v>-576.92307692307691</v>
      </c>
      <c r="AY27" s="15">
        <f t="shared" si="6"/>
        <v>0</v>
      </c>
      <c r="AZ27" s="19">
        <f>AZ25</f>
        <v>0.22</v>
      </c>
      <c r="BA27" s="19">
        <f t="shared" si="7"/>
        <v>0</v>
      </c>
      <c r="BB27" s="19">
        <f t="shared" si="19"/>
        <v>0</v>
      </c>
    </row>
    <row r="28" spans="1:54" s="21" customFormat="1" ht="18.75" thickBot="1" x14ac:dyDescent="0.4">
      <c r="A28" s="59">
        <f t="shared" si="20"/>
        <v>46207</v>
      </c>
      <c r="B28" s="57"/>
      <c r="C28" s="49">
        <f t="shared" si="21"/>
        <v>0</v>
      </c>
      <c r="D28" s="29"/>
      <c r="E28" s="49">
        <f t="shared" si="22"/>
        <v>0</v>
      </c>
      <c r="F28" s="29"/>
      <c r="G28" s="49">
        <f t="shared" si="23"/>
        <v>0</v>
      </c>
      <c r="H28" s="30"/>
      <c r="I28" s="49">
        <f t="shared" si="24"/>
        <v>0</v>
      </c>
      <c r="J28" s="14">
        <f t="shared" si="8"/>
        <v>0</v>
      </c>
      <c r="K28" s="14">
        <f t="shared" si="37"/>
        <v>0</v>
      </c>
      <c r="L28" s="17">
        <f>IF(J28=0,0,K28/J26)</f>
        <v>0</v>
      </c>
      <c r="M28" s="16">
        <f>M26</f>
        <v>52</v>
      </c>
      <c r="N28" s="34"/>
      <c r="O28" s="25">
        <f t="shared" si="9"/>
        <v>0</v>
      </c>
      <c r="P28" s="15">
        <f t="shared" si="0"/>
        <v>0</v>
      </c>
      <c r="Q28" s="17">
        <f t="shared" si="36"/>
        <v>0</v>
      </c>
      <c r="R28" s="34">
        <f>R26</f>
        <v>0.2</v>
      </c>
      <c r="S28" s="15" t="b">
        <f t="shared" si="10"/>
        <v>0</v>
      </c>
      <c r="T28" s="34">
        <f>T26</f>
        <v>-0.2</v>
      </c>
      <c r="U28" s="15" t="b">
        <f t="shared" si="10"/>
        <v>0</v>
      </c>
      <c r="V28" s="34">
        <f>V26</f>
        <v>0.1</v>
      </c>
      <c r="W28" s="34">
        <f>W26</f>
        <v>-0.1</v>
      </c>
      <c r="X28" s="25">
        <f t="shared" si="28"/>
        <v>0</v>
      </c>
      <c r="Y28" s="18">
        <f t="shared" si="1"/>
        <v>0</v>
      </c>
      <c r="Z28" s="15">
        <f t="shared" si="2"/>
        <v>0</v>
      </c>
      <c r="AA28" s="15">
        <f t="shared" si="29"/>
        <v>0</v>
      </c>
      <c r="AB28" s="60">
        <v>1</v>
      </c>
      <c r="AC28" s="14">
        <f>AC26</f>
        <v>0</v>
      </c>
      <c r="AD28" s="15">
        <f t="shared" si="31"/>
        <v>0</v>
      </c>
      <c r="AE28" s="29"/>
      <c r="AF28" s="20">
        <f>AF26+AE28</f>
        <v>0</v>
      </c>
      <c r="AG28" s="10">
        <v>0.85</v>
      </c>
      <c r="AH28" s="29"/>
      <c r="AI28" s="20">
        <f>AI26+AH28</f>
        <v>0</v>
      </c>
      <c r="AJ28" s="29"/>
      <c r="AK28" s="20">
        <f>AK26+AJ28</f>
        <v>0</v>
      </c>
      <c r="AL28" s="15">
        <f t="shared" si="32"/>
        <v>0</v>
      </c>
      <c r="AM28" s="15">
        <f t="shared" si="15"/>
        <v>0</v>
      </c>
      <c r="AN28" s="15">
        <v>0</v>
      </c>
      <c r="AO28" s="39">
        <f t="shared" si="16"/>
        <v>0</v>
      </c>
      <c r="AP28" s="15">
        <f t="shared" si="33"/>
        <v>0</v>
      </c>
      <c r="AQ28" s="34">
        <v>0</v>
      </c>
      <c r="AR28" s="15">
        <f t="shared" si="3"/>
        <v>0</v>
      </c>
      <c r="AS28" s="15">
        <f t="shared" si="17"/>
        <v>0</v>
      </c>
      <c r="AT28" s="34">
        <v>1</v>
      </c>
      <c r="AU28" s="15">
        <f t="shared" si="4"/>
        <v>0</v>
      </c>
      <c r="AV28" s="15">
        <f t="shared" si="34"/>
        <v>0</v>
      </c>
      <c r="AW28" s="39">
        <f t="shared" si="5"/>
        <v>576.92307692307691</v>
      </c>
      <c r="AX28" s="39">
        <f t="shared" si="18"/>
        <v>-576.92307692307691</v>
      </c>
      <c r="AY28" s="15">
        <f t="shared" si="6"/>
        <v>0</v>
      </c>
      <c r="AZ28" s="19">
        <f>AZ26</f>
        <v>0.22</v>
      </c>
      <c r="BA28" s="19">
        <f t="shared" si="7"/>
        <v>0</v>
      </c>
      <c r="BB28" s="19">
        <f t="shared" si="19"/>
        <v>0</v>
      </c>
    </row>
    <row r="29" spans="1:54" ht="18.75" thickBot="1" x14ac:dyDescent="0.4">
      <c r="A29" s="59">
        <f t="shared" si="20"/>
        <v>46214</v>
      </c>
      <c r="B29" s="57"/>
      <c r="C29" s="49">
        <f t="shared" si="21"/>
        <v>0</v>
      </c>
      <c r="D29" s="29"/>
      <c r="E29" s="49">
        <f t="shared" si="22"/>
        <v>0</v>
      </c>
      <c r="F29" s="29"/>
      <c r="G29" s="49">
        <f t="shared" si="23"/>
        <v>0</v>
      </c>
      <c r="H29" s="30"/>
      <c r="I29" s="49">
        <f t="shared" si="24"/>
        <v>0</v>
      </c>
      <c r="J29" s="14">
        <f t="shared" si="8"/>
        <v>0</v>
      </c>
      <c r="K29" s="14">
        <f t="shared" si="37"/>
        <v>0</v>
      </c>
      <c r="L29" s="17">
        <f t="shared" ref="L29:L42" si="39">IF(J29=0,0,K29/J28)</f>
        <v>0</v>
      </c>
      <c r="M29" s="16">
        <f t="shared" ref="M29:M42" si="40">M28</f>
        <v>52</v>
      </c>
      <c r="N29" s="34"/>
      <c r="O29" s="25">
        <f t="shared" si="9"/>
        <v>0</v>
      </c>
      <c r="P29" s="15">
        <f t="shared" si="0"/>
        <v>0</v>
      </c>
      <c r="Q29" s="17">
        <f t="shared" si="36"/>
        <v>0</v>
      </c>
      <c r="R29" s="34">
        <f t="shared" ref="R29:R42" si="41">R28</f>
        <v>0.2</v>
      </c>
      <c r="S29" s="15" t="b">
        <f t="shared" si="10"/>
        <v>0</v>
      </c>
      <c r="T29" s="34">
        <f t="shared" ref="T29:T42" si="42">T28</f>
        <v>-0.2</v>
      </c>
      <c r="U29" s="15" t="b">
        <f t="shared" si="10"/>
        <v>0</v>
      </c>
      <c r="V29" s="34">
        <f t="shared" ref="V29:W42" si="43">V28</f>
        <v>0.1</v>
      </c>
      <c r="W29" s="34">
        <f t="shared" si="43"/>
        <v>-0.1</v>
      </c>
      <c r="X29" s="25">
        <f t="shared" si="28"/>
        <v>0</v>
      </c>
      <c r="Y29" s="18">
        <f t="shared" si="1"/>
        <v>0</v>
      </c>
      <c r="Z29" s="15">
        <f t="shared" si="2"/>
        <v>0</v>
      </c>
      <c r="AA29" s="15">
        <f t="shared" si="29"/>
        <v>0</v>
      </c>
      <c r="AB29" s="60">
        <v>1</v>
      </c>
      <c r="AC29" s="14">
        <f t="shared" ref="AC29:AC42" si="44">AC28</f>
        <v>0</v>
      </c>
      <c r="AD29" s="15">
        <f t="shared" si="31"/>
        <v>0</v>
      </c>
      <c r="AE29" s="29"/>
      <c r="AF29" s="20">
        <f t="shared" ref="AF29:AF42" si="45">AF28+AE29</f>
        <v>0</v>
      </c>
      <c r="AG29" s="10">
        <v>0.85</v>
      </c>
      <c r="AH29" s="29"/>
      <c r="AI29" s="20">
        <f t="shared" ref="AI29:AI42" si="46">AI28+AH29</f>
        <v>0</v>
      </c>
      <c r="AJ29" s="29"/>
      <c r="AK29" s="20">
        <f t="shared" ref="AK29:AK54" si="47">AK28+AJ29</f>
        <v>0</v>
      </c>
      <c r="AL29" s="15">
        <f t="shared" si="32"/>
        <v>0</v>
      </c>
      <c r="AM29" s="15">
        <f t="shared" si="15"/>
        <v>0</v>
      </c>
      <c r="AN29" s="15">
        <v>0</v>
      </c>
      <c r="AO29" s="39">
        <f t="shared" si="16"/>
        <v>0</v>
      </c>
      <c r="AP29" s="15">
        <f t="shared" si="33"/>
        <v>0</v>
      </c>
      <c r="AQ29" s="34">
        <v>0</v>
      </c>
      <c r="AR29" s="15">
        <f t="shared" si="3"/>
        <v>0</v>
      </c>
      <c r="AS29" s="15">
        <f t="shared" si="17"/>
        <v>0</v>
      </c>
      <c r="AT29" s="34">
        <v>1</v>
      </c>
      <c r="AU29" s="15">
        <f t="shared" si="4"/>
        <v>0</v>
      </c>
      <c r="AV29" s="15">
        <f t="shared" si="34"/>
        <v>0</v>
      </c>
      <c r="AW29" s="39">
        <f t="shared" si="5"/>
        <v>576.92307692307691</v>
      </c>
      <c r="AX29" s="39">
        <f t="shared" si="18"/>
        <v>-576.92307692307691</v>
      </c>
      <c r="AY29" s="15">
        <f t="shared" si="6"/>
        <v>0</v>
      </c>
      <c r="AZ29" s="19">
        <f t="shared" ref="AZ29:AZ42" si="48">AZ28</f>
        <v>0.22</v>
      </c>
      <c r="BA29" s="19">
        <f t="shared" si="7"/>
        <v>0</v>
      </c>
      <c r="BB29" s="19">
        <f t="shared" si="19"/>
        <v>0</v>
      </c>
    </row>
    <row r="30" spans="1:54" ht="18.75" thickBot="1" x14ac:dyDescent="0.4">
      <c r="A30" s="59">
        <f t="shared" si="20"/>
        <v>46221</v>
      </c>
      <c r="B30" s="57"/>
      <c r="C30" s="49">
        <f t="shared" si="21"/>
        <v>0</v>
      </c>
      <c r="D30" s="29"/>
      <c r="E30" s="49">
        <f t="shared" si="22"/>
        <v>0</v>
      </c>
      <c r="F30" s="29"/>
      <c r="G30" s="49">
        <f t="shared" si="23"/>
        <v>0</v>
      </c>
      <c r="H30" s="30"/>
      <c r="I30" s="49">
        <f t="shared" si="24"/>
        <v>0</v>
      </c>
      <c r="J30" s="14">
        <f t="shared" si="8"/>
        <v>0</v>
      </c>
      <c r="K30" s="14">
        <f t="shared" si="37"/>
        <v>0</v>
      </c>
      <c r="L30" s="17">
        <f t="shared" si="39"/>
        <v>0</v>
      </c>
      <c r="M30" s="16">
        <f t="shared" si="40"/>
        <v>52</v>
      </c>
      <c r="N30" s="34"/>
      <c r="O30" s="25">
        <f t="shared" si="9"/>
        <v>0</v>
      </c>
      <c r="P30" s="15">
        <f t="shared" si="0"/>
        <v>0</v>
      </c>
      <c r="Q30" s="17">
        <f t="shared" si="36"/>
        <v>0</v>
      </c>
      <c r="R30" s="34">
        <f t="shared" si="41"/>
        <v>0.2</v>
      </c>
      <c r="S30" s="15" t="b">
        <f t="shared" si="10"/>
        <v>0</v>
      </c>
      <c r="T30" s="34">
        <f t="shared" si="42"/>
        <v>-0.2</v>
      </c>
      <c r="U30" s="15" t="b">
        <f t="shared" si="10"/>
        <v>0</v>
      </c>
      <c r="V30" s="34">
        <f t="shared" si="43"/>
        <v>0.1</v>
      </c>
      <c r="W30" s="34">
        <f t="shared" si="43"/>
        <v>-0.1</v>
      </c>
      <c r="X30" s="25">
        <f t="shared" si="28"/>
        <v>0</v>
      </c>
      <c r="Y30" s="18">
        <f t="shared" si="1"/>
        <v>0</v>
      </c>
      <c r="Z30" s="15">
        <f t="shared" si="2"/>
        <v>0</v>
      </c>
      <c r="AA30" s="15">
        <f t="shared" si="29"/>
        <v>0</v>
      </c>
      <c r="AB30" s="60">
        <v>1</v>
      </c>
      <c r="AC30" s="14">
        <f t="shared" si="44"/>
        <v>0</v>
      </c>
      <c r="AD30" s="15">
        <f t="shared" si="31"/>
        <v>0</v>
      </c>
      <c r="AE30" s="29"/>
      <c r="AF30" s="20">
        <f t="shared" si="45"/>
        <v>0</v>
      </c>
      <c r="AG30" s="10">
        <v>0.85</v>
      </c>
      <c r="AH30" s="29"/>
      <c r="AI30" s="20">
        <f>AI29+AH30</f>
        <v>0</v>
      </c>
      <c r="AJ30" s="29"/>
      <c r="AK30" s="20">
        <f t="shared" si="47"/>
        <v>0</v>
      </c>
      <c r="AL30" s="15">
        <f>Z30+AC30+AE30+AH30+AJ30</f>
        <v>0</v>
      </c>
      <c r="AM30" s="15">
        <f t="shared" si="15"/>
        <v>0</v>
      </c>
      <c r="AN30" s="15">
        <v>0</v>
      </c>
      <c r="AO30" s="39">
        <f t="shared" si="16"/>
        <v>0</v>
      </c>
      <c r="AP30" s="15">
        <f t="shared" si="33"/>
        <v>0</v>
      </c>
      <c r="AQ30" s="34">
        <v>0</v>
      </c>
      <c r="AR30" s="15">
        <f t="shared" si="3"/>
        <v>0</v>
      </c>
      <c r="AS30" s="15">
        <f t="shared" si="17"/>
        <v>0</v>
      </c>
      <c r="AT30" s="34">
        <v>1</v>
      </c>
      <c r="AU30" s="15">
        <f t="shared" si="4"/>
        <v>0</v>
      </c>
      <c r="AV30" s="15">
        <f t="shared" si="34"/>
        <v>0</v>
      </c>
      <c r="AW30" s="39">
        <f t="shared" si="5"/>
        <v>576.92307692307691</v>
      </c>
      <c r="AX30" s="39">
        <f t="shared" si="18"/>
        <v>-576.92307692307691</v>
      </c>
      <c r="AY30" s="15">
        <f t="shared" si="6"/>
        <v>0</v>
      </c>
      <c r="AZ30" s="19">
        <f t="shared" si="48"/>
        <v>0.22</v>
      </c>
      <c r="BA30" s="19">
        <f t="shared" si="7"/>
        <v>0</v>
      </c>
      <c r="BB30" s="19">
        <f t="shared" si="19"/>
        <v>0</v>
      </c>
    </row>
    <row r="31" spans="1:54" ht="18.75" thickBot="1" x14ac:dyDescent="0.4">
      <c r="A31" s="59">
        <f t="shared" si="20"/>
        <v>46228</v>
      </c>
      <c r="B31" s="57"/>
      <c r="C31" s="49">
        <f t="shared" si="21"/>
        <v>0</v>
      </c>
      <c r="D31" s="29"/>
      <c r="E31" s="49">
        <f t="shared" si="22"/>
        <v>0</v>
      </c>
      <c r="F31" s="29"/>
      <c r="G31" s="49">
        <f t="shared" si="23"/>
        <v>0</v>
      </c>
      <c r="H31" s="30"/>
      <c r="I31" s="49">
        <f t="shared" si="24"/>
        <v>0</v>
      </c>
      <c r="J31" s="14">
        <f t="shared" si="8"/>
        <v>0</v>
      </c>
      <c r="K31" s="14">
        <f t="shared" si="37"/>
        <v>0</v>
      </c>
      <c r="L31" s="17">
        <f t="shared" si="39"/>
        <v>0</v>
      </c>
      <c r="M31" s="16">
        <f t="shared" si="40"/>
        <v>52</v>
      </c>
      <c r="N31" s="34"/>
      <c r="O31" s="25">
        <f t="shared" si="9"/>
        <v>0</v>
      </c>
      <c r="P31" s="15">
        <f t="shared" si="0"/>
        <v>0</v>
      </c>
      <c r="Q31" s="17">
        <f t="shared" si="36"/>
        <v>0</v>
      </c>
      <c r="R31" s="34">
        <f t="shared" si="41"/>
        <v>0.2</v>
      </c>
      <c r="S31" s="15" t="b">
        <f t="shared" si="10"/>
        <v>0</v>
      </c>
      <c r="T31" s="34">
        <f t="shared" si="42"/>
        <v>-0.2</v>
      </c>
      <c r="U31" s="15" t="b">
        <f t="shared" si="10"/>
        <v>0</v>
      </c>
      <c r="V31" s="34">
        <f t="shared" si="43"/>
        <v>0.1</v>
      </c>
      <c r="W31" s="34">
        <f t="shared" si="43"/>
        <v>-0.1</v>
      </c>
      <c r="X31" s="25">
        <f t="shared" si="28"/>
        <v>0</v>
      </c>
      <c r="Y31" s="18">
        <f t="shared" si="1"/>
        <v>0</v>
      </c>
      <c r="Z31" s="15">
        <f t="shared" si="2"/>
        <v>0</v>
      </c>
      <c r="AA31" s="15">
        <f t="shared" si="29"/>
        <v>0</v>
      </c>
      <c r="AB31" s="60">
        <v>1</v>
      </c>
      <c r="AC31" s="14">
        <f t="shared" si="44"/>
        <v>0</v>
      </c>
      <c r="AD31" s="15">
        <f t="shared" si="31"/>
        <v>0</v>
      </c>
      <c r="AE31" s="29"/>
      <c r="AF31" s="20">
        <f t="shared" si="45"/>
        <v>0</v>
      </c>
      <c r="AG31" s="10">
        <v>0.85</v>
      </c>
      <c r="AH31" s="29"/>
      <c r="AI31" s="20">
        <f t="shared" si="46"/>
        <v>0</v>
      </c>
      <c r="AJ31" s="29"/>
      <c r="AK31" s="20">
        <f t="shared" si="47"/>
        <v>0</v>
      </c>
      <c r="AL31" s="15">
        <f t="shared" si="32"/>
        <v>0</v>
      </c>
      <c r="AM31" s="15">
        <f t="shared" si="15"/>
        <v>0</v>
      </c>
      <c r="AN31" s="15">
        <v>0</v>
      </c>
      <c r="AO31" s="39">
        <f t="shared" si="16"/>
        <v>0</v>
      </c>
      <c r="AP31" s="15">
        <f t="shared" si="33"/>
        <v>0</v>
      </c>
      <c r="AQ31" s="34">
        <v>0</v>
      </c>
      <c r="AR31" s="15">
        <f t="shared" si="3"/>
        <v>0</v>
      </c>
      <c r="AS31" s="15">
        <f t="shared" si="17"/>
        <v>0</v>
      </c>
      <c r="AT31" s="34">
        <v>1</v>
      </c>
      <c r="AU31" s="15">
        <f t="shared" si="4"/>
        <v>0</v>
      </c>
      <c r="AV31" s="15">
        <f t="shared" si="34"/>
        <v>0</v>
      </c>
      <c r="AW31" s="39">
        <f t="shared" si="5"/>
        <v>576.92307692307691</v>
      </c>
      <c r="AX31" s="39">
        <f t="shared" si="18"/>
        <v>-576.92307692307691</v>
      </c>
      <c r="AY31" s="15">
        <f t="shared" si="6"/>
        <v>0</v>
      </c>
      <c r="AZ31" s="19">
        <f t="shared" si="48"/>
        <v>0.22</v>
      </c>
      <c r="BA31" s="19">
        <f t="shared" si="7"/>
        <v>0</v>
      </c>
      <c r="BB31" s="19">
        <f t="shared" si="19"/>
        <v>0</v>
      </c>
    </row>
    <row r="32" spans="1:54" ht="18.75" thickBot="1" x14ac:dyDescent="0.4">
      <c r="A32" s="59">
        <f t="shared" si="20"/>
        <v>46235</v>
      </c>
      <c r="B32" s="57"/>
      <c r="C32" s="49">
        <f t="shared" si="21"/>
        <v>0</v>
      </c>
      <c r="D32" s="29"/>
      <c r="E32" s="49">
        <f t="shared" si="22"/>
        <v>0</v>
      </c>
      <c r="F32" s="29"/>
      <c r="G32" s="49">
        <f t="shared" si="23"/>
        <v>0</v>
      </c>
      <c r="H32" s="30"/>
      <c r="I32" s="49">
        <f t="shared" si="24"/>
        <v>0</v>
      </c>
      <c r="J32" s="14">
        <f t="shared" si="8"/>
        <v>0</v>
      </c>
      <c r="K32" s="14">
        <f t="shared" si="37"/>
        <v>0</v>
      </c>
      <c r="L32" s="17">
        <f t="shared" si="39"/>
        <v>0</v>
      </c>
      <c r="M32" s="16">
        <f t="shared" si="40"/>
        <v>52</v>
      </c>
      <c r="N32" s="34"/>
      <c r="O32" s="25">
        <f t="shared" si="9"/>
        <v>0</v>
      </c>
      <c r="P32" s="15">
        <f t="shared" si="0"/>
        <v>0</v>
      </c>
      <c r="Q32" s="17">
        <f t="shared" si="36"/>
        <v>0</v>
      </c>
      <c r="R32" s="34">
        <f t="shared" si="41"/>
        <v>0.2</v>
      </c>
      <c r="S32" s="15" t="b">
        <f t="shared" si="10"/>
        <v>0</v>
      </c>
      <c r="T32" s="34">
        <f t="shared" si="42"/>
        <v>-0.2</v>
      </c>
      <c r="U32" s="15" t="b">
        <f t="shared" si="10"/>
        <v>0</v>
      </c>
      <c r="V32" s="34">
        <f t="shared" si="43"/>
        <v>0.1</v>
      </c>
      <c r="W32" s="34">
        <f t="shared" si="43"/>
        <v>-0.1</v>
      </c>
      <c r="X32" s="25">
        <f t="shared" si="28"/>
        <v>0</v>
      </c>
      <c r="Y32" s="18">
        <f t="shared" si="1"/>
        <v>0</v>
      </c>
      <c r="Z32" s="15">
        <f t="shared" si="2"/>
        <v>0</v>
      </c>
      <c r="AA32" s="15">
        <f t="shared" si="29"/>
        <v>0</v>
      </c>
      <c r="AB32" s="60">
        <v>1</v>
      </c>
      <c r="AC32" s="14">
        <f t="shared" si="44"/>
        <v>0</v>
      </c>
      <c r="AD32" s="15">
        <f t="shared" si="31"/>
        <v>0</v>
      </c>
      <c r="AE32" s="29"/>
      <c r="AF32" s="20">
        <f t="shared" si="45"/>
        <v>0</v>
      </c>
      <c r="AG32" s="10">
        <v>0.85</v>
      </c>
      <c r="AH32" s="29"/>
      <c r="AI32" s="20">
        <f t="shared" si="46"/>
        <v>0</v>
      </c>
      <c r="AJ32" s="29"/>
      <c r="AK32" s="20">
        <f t="shared" si="47"/>
        <v>0</v>
      </c>
      <c r="AL32" s="15">
        <f t="shared" si="32"/>
        <v>0</v>
      </c>
      <c r="AM32" s="15">
        <f t="shared" si="15"/>
        <v>0</v>
      </c>
      <c r="AN32" s="15">
        <v>0</v>
      </c>
      <c r="AO32" s="39">
        <f t="shared" si="16"/>
        <v>0</v>
      </c>
      <c r="AP32" s="15">
        <f t="shared" si="33"/>
        <v>0</v>
      </c>
      <c r="AQ32" s="34">
        <v>0</v>
      </c>
      <c r="AR32" s="15">
        <f t="shared" si="3"/>
        <v>0</v>
      </c>
      <c r="AS32" s="15">
        <f t="shared" si="17"/>
        <v>0</v>
      </c>
      <c r="AT32" s="34">
        <v>1</v>
      </c>
      <c r="AU32" s="15">
        <f t="shared" si="4"/>
        <v>0</v>
      </c>
      <c r="AV32" s="15">
        <f t="shared" si="34"/>
        <v>0</v>
      </c>
      <c r="AW32" s="39">
        <f t="shared" si="5"/>
        <v>576.92307692307691</v>
      </c>
      <c r="AX32" s="39">
        <f t="shared" si="18"/>
        <v>-576.92307692307691</v>
      </c>
      <c r="AY32" s="15">
        <f t="shared" si="6"/>
        <v>0</v>
      </c>
      <c r="AZ32" s="19">
        <f t="shared" si="48"/>
        <v>0.22</v>
      </c>
      <c r="BA32" s="19">
        <f t="shared" si="7"/>
        <v>0</v>
      </c>
      <c r="BB32" s="19">
        <f t="shared" si="19"/>
        <v>0</v>
      </c>
    </row>
    <row r="33" spans="1:54" s="21" customFormat="1" ht="18.75" thickBot="1" x14ac:dyDescent="0.4">
      <c r="A33" s="59">
        <f t="shared" si="20"/>
        <v>46242</v>
      </c>
      <c r="B33" s="57"/>
      <c r="C33" s="49">
        <f t="shared" si="21"/>
        <v>0</v>
      </c>
      <c r="D33" s="29"/>
      <c r="E33" s="49">
        <f t="shared" si="22"/>
        <v>0</v>
      </c>
      <c r="F33" s="29"/>
      <c r="G33" s="49">
        <f t="shared" si="23"/>
        <v>0</v>
      </c>
      <c r="H33" s="30"/>
      <c r="I33" s="49">
        <f t="shared" si="24"/>
        <v>0</v>
      </c>
      <c r="J33" s="14">
        <f t="shared" si="8"/>
        <v>0</v>
      </c>
      <c r="K33" s="14">
        <f t="shared" si="37"/>
        <v>0</v>
      </c>
      <c r="L33" s="17">
        <f t="shared" si="39"/>
        <v>0</v>
      </c>
      <c r="M33" s="16">
        <f t="shared" si="40"/>
        <v>52</v>
      </c>
      <c r="N33" s="34"/>
      <c r="O33" s="25">
        <f t="shared" si="9"/>
        <v>0</v>
      </c>
      <c r="P33" s="15">
        <f t="shared" si="0"/>
        <v>0</v>
      </c>
      <c r="Q33" s="17">
        <f t="shared" si="36"/>
        <v>0</v>
      </c>
      <c r="R33" s="34">
        <f t="shared" si="41"/>
        <v>0.2</v>
      </c>
      <c r="S33" s="15" t="b">
        <f t="shared" si="10"/>
        <v>0</v>
      </c>
      <c r="T33" s="34">
        <f t="shared" si="42"/>
        <v>-0.2</v>
      </c>
      <c r="U33" s="15" t="b">
        <f t="shared" si="10"/>
        <v>0</v>
      </c>
      <c r="V33" s="34">
        <f t="shared" si="43"/>
        <v>0.1</v>
      </c>
      <c r="W33" s="34">
        <f t="shared" si="43"/>
        <v>-0.1</v>
      </c>
      <c r="X33" s="25">
        <f t="shared" si="28"/>
        <v>0</v>
      </c>
      <c r="Y33" s="18">
        <f t="shared" si="1"/>
        <v>0</v>
      </c>
      <c r="Z33" s="15">
        <f t="shared" si="2"/>
        <v>0</v>
      </c>
      <c r="AA33" s="15">
        <f t="shared" si="29"/>
        <v>0</v>
      </c>
      <c r="AB33" s="60">
        <v>1</v>
      </c>
      <c r="AC33" s="14">
        <f t="shared" si="44"/>
        <v>0</v>
      </c>
      <c r="AD33" s="15">
        <f t="shared" si="31"/>
        <v>0</v>
      </c>
      <c r="AE33" s="29"/>
      <c r="AF33" s="20">
        <f t="shared" si="45"/>
        <v>0</v>
      </c>
      <c r="AG33" s="10">
        <v>0.85</v>
      </c>
      <c r="AH33" s="29"/>
      <c r="AI33" s="20">
        <f t="shared" si="46"/>
        <v>0</v>
      </c>
      <c r="AJ33" s="29"/>
      <c r="AK33" s="20">
        <f t="shared" si="47"/>
        <v>0</v>
      </c>
      <c r="AL33" s="15">
        <f t="shared" si="32"/>
        <v>0</v>
      </c>
      <c r="AM33" s="15">
        <f t="shared" si="15"/>
        <v>0</v>
      </c>
      <c r="AN33" s="15">
        <v>0</v>
      </c>
      <c r="AO33" s="39">
        <f t="shared" si="16"/>
        <v>0</v>
      </c>
      <c r="AP33" s="15">
        <f t="shared" si="33"/>
        <v>0</v>
      </c>
      <c r="AQ33" s="34">
        <v>0</v>
      </c>
      <c r="AR33" s="15">
        <f t="shared" si="3"/>
        <v>0</v>
      </c>
      <c r="AS33" s="15">
        <f t="shared" si="17"/>
        <v>0</v>
      </c>
      <c r="AT33" s="34">
        <v>1</v>
      </c>
      <c r="AU33" s="15">
        <f t="shared" si="4"/>
        <v>0</v>
      </c>
      <c r="AV33" s="15">
        <f t="shared" si="34"/>
        <v>0</v>
      </c>
      <c r="AW33" s="39">
        <f t="shared" si="5"/>
        <v>576.92307692307691</v>
      </c>
      <c r="AX33" s="39">
        <f t="shared" si="18"/>
        <v>-576.92307692307691</v>
      </c>
      <c r="AY33" s="15">
        <f t="shared" si="6"/>
        <v>0</v>
      </c>
      <c r="AZ33" s="19">
        <f t="shared" si="48"/>
        <v>0.22</v>
      </c>
      <c r="BA33" s="19">
        <f t="shared" si="7"/>
        <v>0</v>
      </c>
      <c r="BB33" s="19">
        <f t="shared" si="19"/>
        <v>0</v>
      </c>
    </row>
    <row r="34" spans="1:54" s="21" customFormat="1" ht="18.75" thickBot="1" x14ac:dyDescent="0.4">
      <c r="A34" s="59">
        <f t="shared" si="20"/>
        <v>46249</v>
      </c>
      <c r="B34" s="57"/>
      <c r="C34" s="49">
        <f t="shared" si="21"/>
        <v>0</v>
      </c>
      <c r="D34" s="29"/>
      <c r="E34" s="49">
        <f t="shared" si="22"/>
        <v>0</v>
      </c>
      <c r="F34" s="29"/>
      <c r="G34" s="49">
        <f t="shared" si="23"/>
        <v>0</v>
      </c>
      <c r="H34" s="30"/>
      <c r="I34" s="49">
        <f t="shared" si="24"/>
        <v>0</v>
      </c>
      <c r="J34" s="14">
        <f t="shared" si="8"/>
        <v>0</v>
      </c>
      <c r="K34" s="14">
        <f t="shared" si="37"/>
        <v>0</v>
      </c>
      <c r="L34" s="17">
        <f t="shared" si="39"/>
        <v>0</v>
      </c>
      <c r="M34" s="16">
        <f t="shared" si="40"/>
        <v>52</v>
      </c>
      <c r="N34" s="34"/>
      <c r="O34" s="25">
        <f t="shared" si="9"/>
        <v>0</v>
      </c>
      <c r="P34" s="15">
        <f t="shared" si="0"/>
        <v>0</v>
      </c>
      <c r="Q34" s="17">
        <f t="shared" si="36"/>
        <v>0</v>
      </c>
      <c r="R34" s="34">
        <f t="shared" si="41"/>
        <v>0.2</v>
      </c>
      <c r="S34" s="15" t="b">
        <f t="shared" si="10"/>
        <v>0</v>
      </c>
      <c r="T34" s="34">
        <f t="shared" si="42"/>
        <v>-0.2</v>
      </c>
      <c r="U34" s="15" t="b">
        <f t="shared" si="10"/>
        <v>0</v>
      </c>
      <c r="V34" s="34">
        <f t="shared" si="43"/>
        <v>0.1</v>
      </c>
      <c r="W34" s="34">
        <f t="shared" si="43"/>
        <v>-0.1</v>
      </c>
      <c r="X34" s="25">
        <f t="shared" si="28"/>
        <v>0</v>
      </c>
      <c r="Y34" s="18">
        <f t="shared" si="1"/>
        <v>0</v>
      </c>
      <c r="Z34" s="15">
        <f t="shared" si="2"/>
        <v>0</v>
      </c>
      <c r="AA34" s="15">
        <f t="shared" si="29"/>
        <v>0</v>
      </c>
      <c r="AB34" s="60">
        <v>1</v>
      </c>
      <c r="AC34" s="14">
        <f t="shared" si="44"/>
        <v>0</v>
      </c>
      <c r="AD34" s="15">
        <f t="shared" si="31"/>
        <v>0</v>
      </c>
      <c r="AE34" s="29"/>
      <c r="AF34" s="20">
        <f t="shared" si="45"/>
        <v>0</v>
      </c>
      <c r="AG34" s="10">
        <v>0.85</v>
      </c>
      <c r="AH34" s="29"/>
      <c r="AI34" s="20">
        <f t="shared" si="46"/>
        <v>0</v>
      </c>
      <c r="AJ34" s="29"/>
      <c r="AK34" s="20">
        <f t="shared" si="47"/>
        <v>0</v>
      </c>
      <c r="AL34" s="15">
        <f t="shared" si="32"/>
        <v>0</v>
      </c>
      <c r="AM34" s="15">
        <f t="shared" si="15"/>
        <v>0</v>
      </c>
      <c r="AN34" s="15">
        <v>0</v>
      </c>
      <c r="AO34" s="39">
        <f t="shared" si="16"/>
        <v>0</v>
      </c>
      <c r="AP34" s="15">
        <f t="shared" si="33"/>
        <v>0</v>
      </c>
      <c r="AQ34" s="34">
        <v>0</v>
      </c>
      <c r="AR34" s="15">
        <f t="shared" si="3"/>
        <v>0</v>
      </c>
      <c r="AS34" s="15">
        <f t="shared" si="17"/>
        <v>0</v>
      </c>
      <c r="AT34" s="34">
        <v>1</v>
      </c>
      <c r="AU34" s="15">
        <f t="shared" si="4"/>
        <v>0</v>
      </c>
      <c r="AV34" s="15">
        <f t="shared" si="34"/>
        <v>0</v>
      </c>
      <c r="AW34" s="39">
        <f t="shared" si="5"/>
        <v>576.92307692307691</v>
      </c>
      <c r="AX34" s="39">
        <f t="shared" si="18"/>
        <v>-576.92307692307691</v>
      </c>
      <c r="AY34" s="15">
        <f t="shared" si="6"/>
        <v>0</v>
      </c>
      <c r="AZ34" s="19">
        <f t="shared" si="48"/>
        <v>0.22</v>
      </c>
      <c r="BA34" s="19">
        <f t="shared" si="7"/>
        <v>0</v>
      </c>
      <c r="BB34" s="19">
        <f t="shared" si="19"/>
        <v>0</v>
      </c>
    </row>
    <row r="35" spans="1:54" s="21" customFormat="1" ht="18.75" thickBot="1" x14ac:dyDescent="0.4">
      <c r="A35" s="59">
        <f t="shared" si="20"/>
        <v>46256</v>
      </c>
      <c r="B35" s="57"/>
      <c r="C35" s="49">
        <f t="shared" si="21"/>
        <v>0</v>
      </c>
      <c r="D35" s="29"/>
      <c r="E35" s="49">
        <f t="shared" si="22"/>
        <v>0</v>
      </c>
      <c r="F35" s="29"/>
      <c r="G35" s="49">
        <f t="shared" si="23"/>
        <v>0</v>
      </c>
      <c r="H35" s="30"/>
      <c r="I35" s="49">
        <f t="shared" si="24"/>
        <v>0</v>
      </c>
      <c r="J35" s="14">
        <f t="shared" si="8"/>
        <v>0</v>
      </c>
      <c r="K35" s="14">
        <f t="shared" si="37"/>
        <v>0</v>
      </c>
      <c r="L35" s="17">
        <f t="shared" si="39"/>
        <v>0</v>
      </c>
      <c r="M35" s="16">
        <f t="shared" si="40"/>
        <v>52</v>
      </c>
      <c r="N35" s="34"/>
      <c r="O35" s="25">
        <f t="shared" si="9"/>
        <v>0</v>
      </c>
      <c r="P35" s="15">
        <f t="shared" si="0"/>
        <v>0</v>
      </c>
      <c r="Q35" s="17">
        <f t="shared" si="36"/>
        <v>0</v>
      </c>
      <c r="R35" s="34">
        <f t="shared" si="41"/>
        <v>0.2</v>
      </c>
      <c r="S35" s="15" t="b">
        <f t="shared" si="10"/>
        <v>0</v>
      </c>
      <c r="T35" s="34">
        <f t="shared" si="42"/>
        <v>-0.2</v>
      </c>
      <c r="U35" s="15" t="b">
        <f t="shared" si="10"/>
        <v>0</v>
      </c>
      <c r="V35" s="34">
        <f t="shared" si="43"/>
        <v>0.1</v>
      </c>
      <c r="W35" s="34">
        <f t="shared" si="43"/>
        <v>-0.1</v>
      </c>
      <c r="X35" s="25">
        <f t="shared" si="28"/>
        <v>0</v>
      </c>
      <c r="Y35" s="18">
        <f t="shared" si="1"/>
        <v>0</v>
      </c>
      <c r="Z35" s="15">
        <f t="shared" si="2"/>
        <v>0</v>
      </c>
      <c r="AA35" s="15">
        <f t="shared" si="29"/>
        <v>0</v>
      </c>
      <c r="AB35" s="60">
        <v>1</v>
      </c>
      <c r="AC35" s="14">
        <f t="shared" si="44"/>
        <v>0</v>
      </c>
      <c r="AD35" s="15">
        <f t="shared" si="31"/>
        <v>0</v>
      </c>
      <c r="AE35" s="29"/>
      <c r="AF35" s="20">
        <f t="shared" si="45"/>
        <v>0</v>
      </c>
      <c r="AG35" s="10">
        <v>0.85</v>
      </c>
      <c r="AH35" s="29"/>
      <c r="AI35" s="20">
        <f t="shared" si="46"/>
        <v>0</v>
      </c>
      <c r="AJ35" s="29"/>
      <c r="AK35" s="20">
        <f t="shared" si="47"/>
        <v>0</v>
      </c>
      <c r="AL35" s="15">
        <f t="shared" si="32"/>
        <v>0</v>
      </c>
      <c r="AM35" s="15">
        <f t="shared" si="15"/>
        <v>0</v>
      </c>
      <c r="AN35" s="15">
        <v>0</v>
      </c>
      <c r="AO35" s="39">
        <f t="shared" si="16"/>
        <v>0</v>
      </c>
      <c r="AP35" s="15">
        <f t="shared" si="33"/>
        <v>0</v>
      </c>
      <c r="AQ35" s="34">
        <v>0</v>
      </c>
      <c r="AR35" s="15">
        <f t="shared" si="3"/>
        <v>0</v>
      </c>
      <c r="AS35" s="15">
        <f t="shared" si="17"/>
        <v>0</v>
      </c>
      <c r="AT35" s="34">
        <v>1</v>
      </c>
      <c r="AU35" s="15">
        <f t="shared" si="4"/>
        <v>0</v>
      </c>
      <c r="AV35" s="15">
        <f t="shared" si="34"/>
        <v>0</v>
      </c>
      <c r="AW35" s="39">
        <f t="shared" si="5"/>
        <v>576.92307692307691</v>
      </c>
      <c r="AX35" s="39">
        <f t="shared" si="18"/>
        <v>-576.92307692307691</v>
      </c>
      <c r="AY35" s="15">
        <f t="shared" si="6"/>
        <v>0</v>
      </c>
      <c r="AZ35" s="19">
        <f t="shared" si="48"/>
        <v>0.22</v>
      </c>
      <c r="BA35" s="19">
        <f t="shared" si="7"/>
        <v>0</v>
      </c>
      <c r="BB35" s="19">
        <f t="shared" si="19"/>
        <v>0</v>
      </c>
    </row>
    <row r="36" spans="1:54" s="21" customFormat="1" ht="18.75" thickBot="1" x14ac:dyDescent="0.4">
      <c r="A36" s="59">
        <f t="shared" si="20"/>
        <v>46263</v>
      </c>
      <c r="B36" s="57"/>
      <c r="C36" s="49">
        <f t="shared" si="21"/>
        <v>0</v>
      </c>
      <c r="D36" s="29"/>
      <c r="E36" s="49">
        <f t="shared" si="22"/>
        <v>0</v>
      </c>
      <c r="F36" s="29"/>
      <c r="G36" s="49">
        <f t="shared" si="23"/>
        <v>0</v>
      </c>
      <c r="H36" s="30"/>
      <c r="I36" s="49">
        <f t="shared" si="24"/>
        <v>0</v>
      </c>
      <c r="J36" s="14">
        <f t="shared" si="8"/>
        <v>0</v>
      </c>
      <c r="K36" s="14">
        <f t="shared" si="37"/>
        <v>0</v>
      </c>
      <c r="L36" s="17">
        <f t="shared" si="39"/>
        <v>0</v>
      </c>
      <c r="M36" s="16">
        <f t="shared" si="40"/>
        <v>52</v>
      </c>
      <c r="N36" s="34"/>
      <c r="O36" s="25">
        <f t="shared" si="9"/>
        <v>0</v>
      </c>
      <c r="P36" s="15">
        <f t="shared" si="0"/>
        <v>0</v>
      </c>
      <c r="Q36" s="17">
        <f t="shared" si="36"/>
        <v>0</v>
      </c>
      <c r="R36" s="34">
        <f t="shared" si="41"/>
        <v>0.2</v>
      </c>
      <c r="S36" s="15" t="b">
        <f t="shared" si="10"/>
        <v>0</v>
      </c>
      <c r="T36" s="34">
        <f t="shared" si="42"/>
        <v>-0.2</v>
      </c>
      <c r="U36" s="15" t="b">
        <f t="shared" si="10"/>
        <v>0</v>
      </c>
      <c r="V36" s="34">
        <f t="shared" si="43"/>
        <v>0.1</v>
      </c>
      <c r="W36" s="34">
        <f t="shared" si="43"/>
        <v>-0.1</v>
      </c>
      <c r="X36" s="25">
        <f t="shared" si="28"/>
        <v>0</v>
      </c>
      <c r="Y36" s="18">
        <f t="shared" si="1"/>
        <v>0</v>
      </c>
      <c r="Z36" s="15">
        <f t="shared" si="2"/>
        <v>0</v>
      </c>
      <c r="AA36" s="15">
        <f t="shared" si="29"/>
        <v>0</v>
      </c>
      <c r="AB36" s="60">
        <v>1</v>
      </c>
      <c r="AC36" s="14">
        <f t="shared" si="44"/>
        <v>0</v>
      </c>
      <c r="AD36" s="15">
        <f t="shared" si="31"/>
        <v>0</v>
      </c>
      <c r="AE36" s="29"/>
      <c r="AF36" s="20">
        <f t="shared" si="45"/>
        <v>0</v>
      </c>
      <c r="AG36" s="10">
        <v>0.85</v>
      </c>
      <c r="AH36" s="29"/>
      <c r="AI36" s="20">
        <f>AI35+AH36</f>
        <v>0</v>
      </c>
      <c r="AJ36" s="29"/>
      <c r="AK36" s="20">
        <f t="shared" si="47"/>
        <v>0</v>
      </c>
      <c r="AL36" s="15">
        <f>Z36+AC36+AE36+AH36+AJ36</f>
        <v>0</v>
      </c>
      <c r="AM36" s="15">
        <f t="shared" si="15"/>
        <v>0</v>
      </c>
      <c r="AN36" s="15">
        <v>0</v>
      </c>
      <c r="AO36" s="39">
        <f t="shared" si="16"/>
        <v>0</v>
      </c>
      <c r="AP36" s="15">
        <f t="shared" si="33"/>
        <v>0</v>
      </c>
      <c r="AQ36" s="34">
        <v>0</v>
      </c>
      <c r="AR36" s="15">
        <f t="shared" si="3"/>
        <v>0</v>
      </c>
      <c r="AS36" s="15">
        <f t="shared" si="17"/>
        <v>0</v>
      </c>
      <c r="AT36" s="34">
        <v>1</v>
      </c>
      <c r="AU36" s="15">
        <f t="shared" si="4"/>
        <v>0</v>
      </c>
      <c r="AV36" s="15">
        <f t="shared" si="34"/>
        <v>0</v>
      </c>
      <c r="AW36" s="39">
        <f t="shared" si="5"/>
        <v>576.92307692307691</v>
      </c>
      <c r="AX36" s="39">
        <f t="shared" si="18"/>
        <v>-576.92307692307691</v>
      </c>
      <c r="AY36" s="15">
        <f t="shared" si="6"/>
        <v>0</v>
      </c>
      <c r="AZ36" s="19">
        <f t="shared" si="48"/>
        <v>0.22</v>
      </c>
      <c r="BA36" s="19">
        <f t="shared" si="7"/>
        <v>0</v>
      </c>
      <c r="BB36" s="19">
        <f t="shared" si="19"/>
        <v>0</v>
      </c>
    </row>
    <row r="37" spans="1:54" s="21" customFormat="1" ht="18.75" thickBot="1" x14ac:dyDescent="0.4">
      <c r="A37" s="59">
        <f t="shared" si="20"/>
        <v>46270</v>
      </c>
      <c r="B37" s="57"/>
      <c r="C37" s="49">
        <f t="shared" si="21"/>
        <v>0</v>
      </c>
      <c r="D37" s="29"/>
      <c r="E37" s="49">
        <f t="shared" si="22"/>
        <v>0</v>
      </c>
      <c r="F37" s="29"/>
      <c r="G37" s="49">
        <f t="shared" si="23"/>
        <v>0</v>
      </c>
      <c r="H37" s="30"/>
      <c r="I37" s="49">
        <f t="shared" si="24"/>
        <v>0</v>
      </c>
      <c r="J37" s="14">
        <f t="shared" si="8"/>
        <v>0</v>
      </c>
      <c r="K37" s="14">
        <f t="shared" si="37"/>
        <v>0</v>
      </c>
      <c r="L37" s="17">
        <f t="shared" si="39"/>
        <v>0</v>
      </c>
      <c r="M37" s="16">
        <f t="shared" si="40"/>
        <v>52</v>
      </c>
      <c r="N37" s="34"/>
      <c r="O37" s="25">
        <f t="shared" si="9"/>
        <v>0</v>
      </c>
      <c r="P37" s="15">
        <f t="shared" si="0"/>
        <v>0</v>
      </c>
      <c r="Q37" s="17">
        <f t="shared" si="36"/>
        <v>0</v>
      </c>
      <c r="R37" s="34">
        <f t="shared" si="41"/>
        <v>0.2</v>
      </c>
      <c r="S37" s="15" t="b">
        <f t="shared" si="10"/>
        <v>0</v>
      </c>
      <c r="T37" s="34">
        <f t="shared" si="42"/>
        <v>-0.2</v>
      </c>
      <c r="U37" s="15" t="b">
        <f t="shared" si="10"/>
        <v>0</v>
      </c>
      <c r="V37" s="34">
        <f t="shared" si="43"/>
        <v>0.1</v>
      </c>
      <c r="W37" s="34">
        <f t="shared" si="43"/>
        <v>-0.1</v>
      </c>
      <c r="X37" s="25">
        <f t="shared" si="28"/>
        <v>0</v>
      </c>
      <c r="Y37" s="18">
        <f t="shared" si="1"/>
        <v>0</v>
      </c>
      <c r="Z37" s="15">
        <f t="shared" si="2"/>
        <v>0</v>
      </c>
      <c r="AA37" s="15">
        <f t="shared" si="29"/>
        <v>0</v>
      </c>
      <c r="AB37" s="60">
        <v>1</v>
      </c>
      <c r="AC37" s="14">
        <f t="shared" si="44"/>
        <v>0</v>
      </c>
      <c r="AD37" s="15">
        <f t="shared" si="31"/>
        <v>0</v>
      </c>
      <c r="AE37" s="29"/>
      <c r="AF37" s="20">
        <f t="shared" si="45"/>
        <v>0</v>
      </c>
      <c r="AG37" s="10">
        <v>0.85</v>
      </c>
      <c r="AH37" s="29"/>
      <c r="AI37" s="20">
        <f>AI36+AH37</f>
        <v>0</v>
      </c>
      <c r="AJ37" s="29"/>
      <c r="AK37" s="20">
        <f t="shared" si="47"/>
        <v>0</v>
      </c>
      <c r="AL37" s="15">
        <f>Z37+AC37+AE37+AH37+AJ37</f>
        <v>0</v>
      </c>
      <c r="AM37" s="15">
        <f t="shared" si="15"/>
        <v>0</v>
      </c>
      <c r="AN37" s="15">
        <v>0</v>
      </c>
      <c r="AO37" s="39">
        <f t="shared" si="16"/>
        <v>0</v>
      </c>
      <c r="AP37" s="15">
        <f t="shared" si="33"/>
        <v>0</v>
      </c>
      <c r="AQ37" s="34">
        <v>0</v>
      </c>
      <c r="AR37" s="15">
        <f t="shared" si="3"/>
        <v>0</v>
      </c>
      <c r="AS37" s="15">
        <f t="shared" si="17"/>
        <v>0</v>
      </c>
      <c r="AT37" s="34">
        <v>1</v>
      </c>
      <c r="AU37" s="15">
        <f t="shared" si="4"/>
        <v>0</v>
      </c>
      <c r="AV37" s="15">
        <f t="shared" si="34"/>
        <v>0</v>
      </c>
      <c r="AW37" s="39">
        <f t="shared" si="5"/>
        <v>576.92307692307691</v>
      </c>
      <c r="AX37" s="39">
        <f t="shared" si="18"/>
        <v>-576.92307692307691</v>
      </c>
      <c r="AY37" s="15">
        <f t="shared" si="6"/>
        <v>0</v>
      </c>
      <c r="AZ37" s="19">
        <f t="shared" si="48"/>
        <v>0.22</v>
      </c>
      <c r="BA37" s="19">
        <f t="shared" si="7"/>
        <v>0</v>
      </c>
      <c r="BB37" s="19">
        <f t="shared" si="19"/>
        <v>0</v>
      </c>
    </row>
    <row r="38" spans="1:54" s="21" customFormat="1" ht="18.75" thickBot="1" x14ac:dyDescent="0.4">
      <c r="A38" s="59">
        <f t="shared" si="20"/>
        <v>46277</v>
      </c>
      <c r="B38" s="57"/>
      <c r="C38" s="49">
        <f t="shared" si="21"/>
        <v>0</v>
      </c>
      <c r="D38" s="29"/>
      <c r="E38" s="49">
        <f t="shared" si="22"/>
        <v>0</v>
      </c>
      <c r="F38" s="29"/>
      <c r="G38" s="49">
        <f t="shared" si="23"/>
        <v>0</v>
      </c>
      <c r="H38" s="30"/>
      <c r="I38" s="49">
        <f t="shared" si="24"/>
        <v>0</v>
      </c>
      <c r="J38" s="14">
        <f t="shared" si="8"/>
        <v>0</v>
      </c>
      <c r="K38" s="14">
        <f t="shared" si="37"/>
        <v>0</v>
      </c>
      <c r="L38" s="17">
        <f t="shared" si="39"/>
        <v>0</v>
      </c>
      <c r="M38" s="16">
        <f t="shared" si="40"/>
        <v>52</v>
      </c>
      <c r="N38" s="34"/>
      <c r="O38" s="25">
        <f t="shared" si="9"/>
        <v>0</v>
      </c>
      <c r="P38" s="15">
        <f t="shared" si="0"/>
        <v>0</v>
      </c>
      <c r="Q38" s="17">
        <f t="shared" si="36"/>
        <v>0</v>
      </c>
      <c r="R38" s="34">
        <f t="shared" si="41"/>
        <v>0.2</v>
      </c>
      <c r="S38" s="15" t="b">
        <f t="shared" si="10"/>
        <v>0</v>
      </c>
      <c r="T38" s="34">
        <f t="shared" si="42"/>
        <v>-0.2</v>
      </c>
      <c r="U38" s="15" t="b">
        <f t="shared" si="10"/>
        <v>0</v>
      </c>
      <c r="V38" s="34">
        <f t="shared" si="43"/>
        <v>0.1</v>
      </c>
      <c r="W38" s="34">
        <f t="shared" si="43"/>
        <v>-0.1</v>
      </c>
      <c r="X38" s="25">
        <f t="shared" si="28"/>
        <v>0</v>
      </c>
      <c r="Y38" s="18">
        <f t="shared" si="1"/>
        <v>0</v>
      </c>
      <c r="Z38" s="15">
        <f t="shared" si="2"/>
        <v>0</v>
      </c>
      <c r="AA38" s="15">
        <f t="shared" si="29"/>
        <v>0</v>
      </c>
      <c r="AB38" s="60">
        <v>1</v>
      </c>
      <c r="AC38" s="14">
        <f t="shared" si="44"/>
        <v>0</v>
      </c>
      <c r="AD38" s="15">
        <f t="shared" si="31"/>
        <v>0</v>
      </c>
      <c r="AE38" s="29"/>
      <c r="AF38" s="20">
        <f t="shared" si="45"/>
        <v>0</v>
      </c>
      <c r="AG38" s="10">
        <v>0.85</v>
      </c>
      <c r="AH38" s="29"/>
      <c r="AI38" s="20">
        <f t="shared" si="46"/>
        <v>0</v>
      </c>
      <c r="AJ38" s="29"/>
      <c r="AK38" s="20">
        <f t="shared" si="47"/>
        <v>0</v>
      </c>
      <c r="AL38" s="15">
        <f t="shared" si="32"/>
        <v>0</v>
      </c>
      <c r="AM38" s="15">
        <f t="shared" si="15"/>
        <v>0</v>
      </c>
      <c r="AN38" s="15">
        <v>0</v>
      </c>
      <c r="AO38" s="39">
        <f t="shared" si="16"/>
        <v>0</v>
      </c>
      <c r="AP38" s="15">
        <f t="shared" si="33"/>
        <v>0</v>
      </c>
      <c r="AQ38" s="34">
        <v>0</v>
      </c>
      <c r="AR38" s="15">
        <f t="shared" si="3"/>
        <v>0</v>
      </c>
      <c r="AS38" s="15">
        <f t="shared" si="17"/>
        <v>0</v>
      </c>
      <c r="AT38" s="34">
        <v>1</v>
      </c>
      <c r="AU38" s="15">
        <f t="shared" si="4"/>
        <v>0</v>
      </c>
      <c r="AV38" s="15">
        <f t="shared" si="34"/>
        <v>0</v>
      </c>
      <c r="AW38" s="39">
        <f t="shared" si="5"/>
        <v>576.92307692307691</v>
      </c>
      <c r="AX38" s="39">
        <f t="shared" si="18"/>
        <v>-576.92307692307691</v>
      </c>
      <c r="AY38" s="15">
        <f t="shared" si="6"/>
        <v>0</v>
      </c>
      <c r="AZ38" s="19">
        <f t="shared" si="48"/>
        <v>0.22</v>
      </c>
      <c r="BA38" s="19">
        <f t="shared" si="7"/>
        <v>0</v>
      </c>
      <c r="BB38" s="19">
        <f t="shared" si="19"/>
        <v>0</v>
      </c>
    </row>
    <row r="39" spans="1:54" s="21" customFormat="1" ht="18.75" thickBot="1" x14ac:dyDescent="0.4">
      <c r="A39" s="59">
        <f t="shared" si="20"/>
        <v>46284</v>
      </c>
      <c r="B39" s="57"/>
      <c r="C39" s="49">
        <f t="shared" si="21"/>
        <v>0</v>
      </c>
      <c r="D39" s="29"/>
      <c r="E39" s="49">
        <f t="shared" si="22"/>
        <v>0</v>
      </c>
      <c r="F39" s="29"/>
      <c r="G39" s="49">
        <f t="shared" si="23"/>
        <v>0</v>
      </c>
      <c r="H39" s="30"/>
      <c r="I39" s="49">
        <f t="shared" si="24"/>
        <v>0</v>
      </c>
      <c r="J39" s="14">
        <f t="shared" si="8"/>
        <v>0</v>
      </c>
      <c r="K39" s="14">
        <f t="shared" si="37"/>
        <v>0</v>
      </c>
      <c r="L39" s="17">
        <f t="shared" si="39"/>
        <v>0</v>
      </c>
      <c r="M39" s="16">
        <f t="shared" si="40"/>
        <v>52</v>
      </c>
      <c r="N39" s="34"/>
      <c r="O39" s="25">
        <f t="shared" si="9"/>
        <v>0</v>
      </c>
      <c r="P39" s="15">
        <f t="shared" si="0"/>
        <v>0</v>
      </c>
      <c r="Q39" s="17">
        <f t="shared" si="36"/>
        <v>0</v>
      </c>
      <c r="R39" s="34">
        <f t="shared" si="41"/>
        <v>0.2</v>
      </c>
      <c r="S39" s="15" t="b">
        <f t="shared" si="10"/>
        <v>0</v>
      </c>
      <c r="T39" s="34">
        <f t="shared" si="42"/>
        <v>-0.2</v>
      </c>
      <c r="U39" s="15" t="b">
        <f t="shared" si="10"/>
        <v>0</v>
      </c>
      <c r="V39" s="34">
        <f t="shared" si="43"/>
        <v>0.1</v>
      </c>
      <c r="W39" s="34">
        <f t="shared" si="43"/>
        <v>-0.1</v>
      </c>
      <c r="X39" s="25">
        <f t="shared" si="28"/>
        <v>0</v>
      </c>
      <c r="Y39" s="18">
        <f t="shared" si="1"/>
        <v>0</v>
      </c>
      <c r="Z39" s="15">
        <f t="shared" si="2"/>
        <v>0</v>
      </c>
      <c r="AA39" s="15">
        <f t="shared" si="29"/>
        <v>0</v>
      </c>
      <c r="AB39" s="60">
        <v>1</v>
      </c>
      <c r="AC39" s="14">
        <f t="shared" si="44"/>
        <v>0</v>
      </c>
      <c r="AD39" s="15">
        <f t="shared" si="31"/>
        <v>0</v>
      </c>
      <c r="AE39" s="29"/>
      <c r="AF39" s="20">
        <f t="shared" si="45"/>
        <v>0</v>
      </c>
      <c r="AG39" s="10">
        <v>0.85</v>
      </c>
      <c r="AH39" s="29"/>
      <c r="AI39" s="20">
        <f t="shared" si="46"/>
        <v>0</v>
      </c>
      <c r="AJ39" s="29"/>
      <c r="AK39" s="20">
        <f t="shared" si="47"/>
        <v>0</v>
      </c>
      <c r="AL39" s="15">
        <f t="shared" si="32"/>
        <v>0</v>
      </c>
      <c r="AM39" s="15">
        <f t="shared" si="15"/>
        <v>0</v>
      </c>
      <c r="AN39" s="15">
        <v>0</v>
      </c>
      <c r="AO39" s="39">
        <f t="shared" si="16"/>
        <v>0</v>
      </c>
      <c r="AP39" s="15">
        <f t="shared" si="33"/>
        <v>0</v>
      </c>
      <c r="AQ39" s="34">
        <v>0</v>
      </c>
      <c r="AR39" s="15">
        <f t="shared" si="3"/>
        <v>0</v>
      </c>
      <c r="AS39" s="15">
        <f t="shared" si="17"/>
        <v>0</v>
      </c>
      <c r="AT39" s="34">
        <v>1</v>
      </c>
      <c r="AU39" s="15">
        <f t="shared" si="4"/>
        <v>0</v>
      </c>
      <c r="AV39" s="15">
        <f t="shared" si="34"/>
        <v>0</v>
      </c>
      <c r="AW39" s="39">
        <f t="shared" si="5"/>
        <v>576.92307692307691</v>
      </c>
      <c r="AX39" s="39">
        <f t="shared" si="18"/>
        <v>-576.92307692307691</v>
      </c>
      <c r="AY39" s="15">
        <f t="shared" si="6"/>
        <v>0</v>
      </c>
      <c r="AZ39" s="19">
        <f t="shared" si="48"/>
        <v>0.22</v>
      </c>
      <c r="BA39" s="19">
        <f t="shared" si="7"/>
        <v>0</v>
      </c>
      <c r="BB39" s="19">
        <f t="shared" si="19"/>
        <v>0</v>
      </c>
    </row>
    <row r="40" spans="1:54" s="21" customFormat="1" ht="18.75" thickBot="1" x14ac:dyDescent="0.4">
      <c r="A40" s="59">
        <f t="shared" si="20"/>
        <v>46291</v>
      </c>
      <c r="B40" s="57"/>
      <c r="C40" s="49">
        <f t="shared" si="21"/>
        <v>0</v>
      </c>
      <c r="D40" s="29"/>
      <c r="E40" s="49">
        <f t="shared" si="22"/>
        <v>0</v>
      </c>
      <c r="F40" s="29"/>
      <c r="G40" s="49">
        <f t="shared" si="23"/>
        <v>0</v>
      </c>
      <c r="H40" s="29"/>
      <c r="I40" s="49">
        <f t="shared" si="24"/>
        <v>0</v>
      </c>
      <c r="J40" s="14">
        <f t="shared" si="8"/>
        <v>0</v>
      </c>
      <c r="K40" s="14">
        <f t="shared" si="37"/>
        <v>0</v>
      </c>
      <c r="L40" s="17">
        <f t="shared" si="39"/>
        <v>0</v>
      </c>
      <c r="M40" s="16">
        <f t="shared" si="40"/>
        <v>52</v>
      </c>
      <c r="N40" s="34"/>
      <c r="O40" s="25">
        <f t="shared" si="9"/>
        <v>0</v>
      </c>
      <c r="P40" s="15">
        <f t="shared" si="0"/>
        <v>0</v>
      </c>
      <c r="Q40" s="17">
        <f t="shared" si="36"/>
        <v>0</v>
      </c>
      <c r="R40" s="34">
        <f t="shared" si="41"/>
        <v>0.2</v>
      </c>
      <c r="S40" s="15" t="b">
        <f t="shared" si="10"/>
        <v>0</v>
      </c>
      <c r="T40" s="34">
        <f t="shared" si="42"/>
        <v>-0.2</v>
      </c>
      <c r="U40" s="15" t="b">
        <f t="shared" si="10"/>
        <v>0</v>
      </c>
      <c r="V40" s="34">
        <f t="shared" si="43"/>
        <v>0.1</v>
      </c>
      <c r="W40" s="34">
        <f t="shared" si="43"/>
        <v>-0.1</v>
      </c>
      <c r="X40" s="25">
        <f t="shared" si="28"/>
        <v>0</v>
      </c>
      <c r="Y40" s="18">
        <f t="shared" si="1"/>
        <v>0</v>
      </c>
      <c r="Z40" s="15">
        <f t="shared" si="2"/>
        <v>0</v>
      </c>
      <c r="AA40" s="15">
        <f t="shared" si="29"/>
        <v>0</v>
      </c>
      <c r="AB40" s="60">
        <v>1</v>
      </c>
      <c r="AC40" s="14">
        <f t="shared" si="44"/>
        <v>0</v>
      </c>
      <c r="AD40" s="15">
        <f t="shared" si="31"/>
        <v>0</v>
      </c>
      <c r="AE40" s="29"/>
      <c r="AF40" s="20">
        <f t="shared" si="45"/>
        <v>0</v>
      </c>
      <c r="AG40" s="10">
        <v>0.85</v>
      </c>
      <c r="AH40" s="29"/>
      <c r="AI40" s="20">
        <f t="shared" si="46"/>
        <v>0</v>
      </c>
      <c r="AJ40" s="29"/>
      <c r="AK40" s="20">
        <f t="shared" si="47"/>
        <v>0</v>
      </c>
      <c r="AL40" s="15">
        <f t="shared" si="32"/>
        <v>0</v>
      </c>
      <c r="AM40" s="15">
        <f t="shared" si="15"/>
        <v>0</v>
      </c>
      <c r="AN40" s="15">
        <v>0</v>
      </c>
      <c r="AO40" s="39">
        <f t="shared" si="16"/>
        <v>0</v>
      </c>
      <c r="AP40" s="15">
        <f t="shared" si="33"/>
        <v>0</v>
      </c>
      <c r="AQ40" s="34">
        <v>0</v>
      </c>
      <c r="AR40" s="15">
        <f t="shared" si="3"/>
        <v>0</v>
      </c>
      <c r="AS40" s="15">
        <f t="shared" si="17"/>
        <v>0</v>
      </c>
      <c r="AT40" s="34">
        <v>1</v>
      </c>
      <c r="AU40" s="15">
        <f t="shared" si="4"/>
        <v>0</v>
      </c>
      <c r="AV40" s="15">
        <f t="shared" si="34"/>
        <v>0</v>
      </c>
      <c r="AW40" s="39">
        <f t="shared" si="5"/>
        <v>576.92307692307691</v>
      </c>
      <c r="AX40" s="39">
        <f t="shared" si="18"/>
        <v>-576.92307692307691</v>
      </c>
      <c r="AY40" s="15">
        <f t="shared" si="6"/>
        <v>0</v>
      </c>
      <c r="AZ40" s="19">
        <f t="shared" si="48"/>
        <v>0.22</v>
      </c>
      <c r="BA40" s="19">
        <f t="shared" si="7"/>
        <v>0</v>
      </c>
      <c r="BB40" s="19">
        <f t="shared" si="19"/>
        <v>0</v>
      </c>
    </row>
    <row r="41" spans="1:54" s="21" customFormat="1" ht="18.75" thickBot="1" x14ac:dyDescent="0.4">
      <c r="A41" s="59">
        <f t="shared" si="20"/>
        <v>46298</v>
      </c>
      <c r="B41" s="57"/>
      <c r="C41" s="49">
        <f t="shared" si="21"/>
        <v>0</v>
      </c>
      <c r="D41" s="29"/>
      <c r="E41" s="49">
        <f t="shared" si="22"/>
        <v>0</v>
      </c>
      <c r="F41" s="29"/>
      <c r="G41" s="49">
        <f t="shared" si="23"/>
        <v>0</v>
      </c>
      <c r="H41" s="29"/>
      <c r="I41" s="49">
        <f t="shared" si="24"/>
        <v>0</v>
      </c>
      <c r="J41" s="14">
        <f t="shared" si="8"/>
        <v>0</v>
      </c>
      <c r="K41" s="14">
        <f t="shared" si="37"/>
        <v>0</v>
      </c>
      <c r="L41" s="17">
        <f t="shared" si="39"/>
        <v>0</v>
      </c>
      <c r="M41" s="16">
        <f t="shared" si="40"/>
        <v>52</v>
      </c>
      <c r="N41" s="34"/>
      <c r="O41" s="25">
        <f t="shared" si="9"/>
        <v>0</v>
      </c>
      <c r="P41" s="15">
        <f t="shared" si="0"/>
        <v>0</v>
      </c>
      <c r="Q41" s="17">
        <f t="shared" si="36"/>
        <v>0</v>
      </c>
      <c r="R41" s="34">
        <f t="shared" si="41"/>
        <v>0.2</v>
      </c>
      <c r="S41" s="15" t="b">
        <f t="shared" si="10"/>
        <v>0</v>
      </c>
      <c r="T41" s="34">
        <f t="shared" si="42"/>
        <v>-0.2</v>
      </c>
      <c r="U41" s="15" t="b">
        <f t="shared" si="10"/>
        <v>0</v>
      </c>
      <c r="V41" s="34">
        <f t="shared" si="43"/>
        <v>0.1</v>
      </c>
      <c r="W41" s="34">
        <f t="shared" si="43"/>
        <v>-0.1</v>
      </c>
      <c r="X41" s="25">
        <f t="shared" si="28"/>
        <v>0</v>
      </c>
      <c r="Y41" s="18">
        <f t="shared" si="1"/>
        <v>0</v>
      </c>
      <c r="Z41" s="15">
        <f t="shared" si="2"/>
        <v>0</v>
      </c>
      <c r="AA41" s="15">
        <f t="shared" si="29"/>
        <v>0</v>
      </c>
      <c r="AB41" s="60">
        <v>1</v>
      </c>
      <c r="AC41" s="14">
        <f t="shared" si="44"/>
        <v>0</v>
      </c>
      <c r="AD41" s="15">
        <f t="shared" si="31"/>
        <v>0</v>
      </c>
      <c r="AE41" s="29"/>
      <c r="AF41" s="20">
        <f t="shared" si="45"/>
        <v>0</v>
      </c>
      <c r="AG41" s="10">
        <v>0.85</v>
      </c>
      <c r="AH41" s="29"/>
      <c r="AI41" s="20">
        <f t="shared" si="46"/>
        <v>0</v>
      </c>
      <c r="AJ41" s="29"/>
      <c r="AK41" s="20">
        <f t="shared" si="47"/>
        <v>0</v>
      </c>
      <c r="AL41" s="15">
        <f t="shared" si="32"/>
        <v>0</v>
      </c>
      <c r="AM41" s="15">
        <f t="shared" si="15"/>
        <v>0</v>
      </c>
      <c r="AN41" s="15">
        <v>0</v>
      </c>
      <c r="AO41" s="39">
        <f t="shared" si="16"/>
        <v>0</v>
      </c>
      <c r="AP41" s="15">
        <f t="shared" si="33"/>
        <v>0</v>
      </c>
      <c r="AQ41" s="34">
        <v>0</v>
      </c>
      <c r="AR41" s="15">
        <f t="shared" si="3"/>
        <v>0</v>
      </c>
      <c r="AS41" s="15">
        <f t="shared" si="17"/>
        <v>0</v>
      </c>
      <c r="AT41" s="34">
        <v>1</v>
      </c>
      <c r="AU41" s="15">
        <f t="shared" si="4"/>
        <v>0</v>
      </c>
      <c r="AV41" s="15">
        <f t="shared" si="34"/>
        <v>0</v>
      </c>
      <c r="AW41" s="39">
        <f t="shared" si="5"/>
        <v>576.92307692307691</v>
      </c>
      <c r="AX41" s="39">
        <f t="shared" si="18"/>
        <v>-576.92307692307691</v>
      </c>
      <c r="AY41" s="15">
        <f t="shared" si="6"/>
        <v>0</v>
      </c>
      <c r="AZ41" s="19">
        <f t="shared" si="48"/>
        <v>0.22</v>
      </c>
      <c r="BA41" s="19">
        <f t="shared" si="7"/>
        <v>0</v>
      </c>
      <c r="BB41" s="19">
        <f t="shared" si="19"/>
        <v>0</v>
      </c>
    </row>
    <row r="42" spans="1:54" s="21" customFormat="1" ht="18.75" thickBot="1" x14ac:dyDescent="0.4">
      <c r="A42" s="59">
        <f t="shared" si="20"/>
        <v>46305</v>
      </c>
      <c r="B42" s="57"/>
      <c r="C42" s="49">
        <f>IF(J42&lt;=0,0,B42/J42)</f>
        <v>0</v>
      </c>
      <c r="D42" s="29"/>
      <c r="E42" s="49">
        <f t="shared" si="22"/>
        <v>0</v>
      </c>
      <c r="F42" s="29"/>
      <c r="G42" s="49">
        <f t="shared" si="23"/>
        <v>0</v>
      </c>
      <c r="H42" s="29"/>
      <c r="I42" s="49">
        <f t="shared" si="24"/>
        <v>0</v>
      </c>
      <c r="J42" s="14">
        <f t="shared" si="8"/>
        <v>0</v>
      </c>
      <c r="K42" s="14">
        <f t="shared" si="37"/>
        <v>0</v>
      </c>
      <c r="L42" s="17">
        <f t="shared" si="39"/>
        <v>0</v>
      </c>
      <c r="M42" s="16">
        <f t="shared" si="40"/>
        <v>52</v>
      </c>
      <c r="N42" s="34"/>
      <c r="O42" s="25">
        <f t="shared" si="9"/>
        <v>0</v>
      </c>
      <c r="P42" s="15">
        <f t="shared" si="0"/>
        <v>0</v>
      </c>
      <c r="Q42" s="17">
        <f t="shared" si="36"/>
        <v>0</v>
      </c>
      <c r="R42" s="34">
        <f t="shared" si="41"/>
        <v>0.2</v>
      </c>
      <c r="S42" s="15" t="b">
        <f t="shared" si="10"/>
        <v>0</v>
      </c>
      <c r="T42" s="34">
        <f t="shared" si="42"/>
        <v>-0.2</v>
      </c>
      <c r="U42" s="15" t="b">
        <f t="shared" si="10"/>
        <v>0</v>
      </c>
      <c r="V42" s="34">
        <f t="shared" si="43"/>
        <v>0.1</v>
      </c>
      <c r="W42" s="34">
        <f t="shared" si="43"/>
        <v>-0.1</v>
      </c>
      <c r="X42" s="25">
        <f t="shared" si="28"/>
        <v>0</v>
      </c>
      <c r="Y42" s="18">
        <f t="shared" si="1"/>
        <v>0</v>
      </c>
      <c r="Z42" s="15">
        <f t="shared" si="2"/>
        <v>0</v>
      </c>
      <c r="AA42" s="15">
        <f t="shared" si="29"/>
        <v>0</v>
      </c>
      <c r="AB42" s="60">
        <v>1</v>
      </c>
      <c r="AC42" s="14">
        <f t="shared" si="44"/>
        <v>0</v>
      </c>
      <c r="AD42" s="15">
        <f t="shared" si="31"/>
        <v>0</v>
      </c>
      <c r="AE42" s="29"/>
      <c r="AF42" s="20">
        <f t="shared" si="45"/>
        <v>0</v>
      </c>
      <c r="AG42" s="10">
        <v>0.85</v>
      </c>
      <c r="AH42" s="29"/>
      <c r="AI42" s="20">
        <f t="shared" si="46"/>
        <v>0</v>
      </c>
      <c r="AJ42" s="29"/>
      <c r="AK42" s="20">
        <f t="shared" si="47"/>
        <v>0</v>
      </c>
      <c r="AL42" s="15">
        <f t="shared" si="32"/>
        <v>0</v>
      </c>
      <c r="AM42" s="15">
        <f t="shared" si="15"/>
        <v>0</v>
      </c>
      <c r="AN42" s="15">
        <v>0</v>
      </c>
      <c r="AO42" s="39">
        <f t="shared" si="16"/>
        <v>0</v>
      </c>
      <c r="AP42" s="15">
        <f t="shared" si="33"/>
        <v>0</v>
      </c>
      <c r="AQ42" s="34">
        <v>0</v>
      </c>
      <c r="AR42" s="15">
        <f t="shared" si="3"/>
        <v>0</v>
      </c>
      <c r="AS42" s="15">
        <f t="shared" si="17"/>
        <v>0</v>
      </c>
      <c r="AT42" s="34">
        <v>1</v>
      </c>
      <c r="AU42" s="15">
        <f t="shared" si="4"/>
        <v>0</v>
      </c>
      <c r="AV42" s="15">
        <f t="shared" si="34"/>
        <v>0</v>
      </c>
      <c r="AW42" s="39">
        <f t="shared" si="5"/>
        <v>576.92307692307691</v>
      </c>
      <c r="AX42" s="39">
        <f t="shared" si="18"/>
        <v>-576.92307692307691</v>
      </c>
      <c r="AY42" s="15">
        <f t="shared" si="6"/>
        <v>0</v>
      </c>
      <c r="AZ42" s="19">
        <f t="shared" si="48"/>
        <v>0.22</v>
      </c>
      <c r="BA42" s="19">
        <f t="shared" si="7"/>
        <v>0</v>
      </c>
      <c r="BB42" s="19">
        <f t="shared" si="19"/>
        <v>0</v>
      </c>
    </row>
    <row r="43" spans="1:54" s="21" customFormat="1" ht="18.75" thickBot="1" x14ac:dyDescent="0.4">
      <c r="A43" s="59">
        <f t="shared" si="20"/>
        <v>46312</v>
      </c>
      <c r="B43" s="57"/>
      <c r="C43" s="49">
        <f t="shared" si="21"/>
        <v>0</v>
      </c>
      <c r="D43" s="29"/>
      <c r="E43" s="49">
        <f t="shared" si="22"/>
        <v>0</v>
      </c>
      <c r="F43" s="29"/>
      <c r="G43" s="49">
        <f t="shared" si="23"/>
        <v>0</v>
      </c>
      <c r="H43" s="29"/>
      <c r="I43" s="49">
        <f t="shared" si="24"/>
        <v>0</v>
      </c>
      <c r="J43" s="14">
        <f t="shared" si="8"/>
        <v>0</v>
      </c>
      <c r="K43" s="14">
        <f t="shared" si="37"/>
        <v>0</v>
      </c>
      <c r="L43" s="17">
        <f>IF(J43=0,0,K43/J41)</f>
        <v>0</v>
      </c>
      <c r="M43" s="16">
        <f>M41</f>
        <v>52</v>
      </c>
      <c r="N43" s="34"/>
      <c r="O43" s="25">
        <f t="shared" si="9"/>
        <v>0</v>
      </c>
      <c r="P43" s="15">
        <f t="shared" si="0"/>
        <v>0</v>
      </c>
      <c r="Q43" s="17">
        <f t="shared" si="36"/>
        <v>0</v>
      </c>
      <c r="R43" s="34">
        <f>R41</f>
        <v>0.2</v>
      </c>
      <c r="S43" s="15" t="b">
        <f t="shared" si="10"/>
        <v>0</v>
      </c>
      <c r="T43" s="34">
        <f>T41</f>
        <v>-0.2</v>
      </c>
      <c r="U43" s="15" t="b">
        <f t="shared" si="10"/>
        <v>0</v>
      </c>
      <c r="V43" s="34">
        <f>V41</f>
        <v>0.1</v>
      </c>
      <c r="W43" s="34">
        <f>W41</f>
        <v>-0.1</v>
      </c>
      <c r="X43" s="25">
        <f t="shared" si="28"/>
        <v>0</v>
      </c>
      <c r="Y43" s="18">
        <f t="shared" si="1"/>
        <v>0</v>
      </c>
      <c r="Z43" s="15">
        <f t="shared" si="2"/>
        <v>0</v>
      </c>
      <c r="AA43" s="15">
        <f t="shared" si="29"/>
        <v>0</v>
      </c>
      <c r="AB43" s="60">
        <v>1</v>
      </c>
      <c r="AC43" s="14">
        <f>AC41</f>
        <v>0</v>
      </c>
      <c r="AD43" s="15">
        <f t="shared" si="31"/>
        <v>0</v>
      </c>
      <c r="AE43" s="29"/>
      <c r="AF43" s="20">
        <f>AF41+AE43</f>
        <v>0</v>
      </c>
      <c r="AG43" s="10">
        <v>0.85</v>
      </c>
      <c r="AH43" s="29"/>
      <c r="AI43" s="20">
        <f>AI41+AH43</f>
        <v>0</v>
      </c>
      <c r="AJ43" s="29"/>
      <c r="AK43" s="20">
        <f t="shared" si="47"/>
        <v>0</v>
      </c>
      <c r="AL43" s="15">
        <f t="shared" si="32"/>
        <v>0</v>
      </c>
      <c r="AM43" s="15">
        <f t="shared" si="15"/>
        <v>0</v>
      </c>
      <c r="AN43" s="15">
        <v>0</v>
      </c>
      <c r="AO43" s="39">
        <f t="shared" si="16"/>
        <v>0</v>
      </c>
      <c r="AP43" s="15">
        <f t="shared" si="33"/>
        <v>0</v>
      </c>
      <c r="AQ43" s="34">
        <v>0</v>
      </c>
      <c r="AR43" s="15">
        <f t="shared" si="3"/>
        <v>0</v>
      </c>
      <c r="AS43" s="15">
        <f t="shared" si="17"/>
        <v>0</v>
      </c>
      <c r="AT43" s="34">
        <v>1</v>
      </c>
      <c r="AU43" s="15">
        <f t="shared" si="4"/>
        <v>0</v>
      </c>
      <c r="AV43" s="15">
        <f t="shared" si="34"/>
        <v>0</v>
      </c>
      <c r="AW43" s="39">
        <f t="shared" si="5"/>
        <v>576.92307692307691</v>
      </c>
      <c r="AX43" s="39">
        <f t="shared" si="18"/>
        <v>-576.92307692307691</v>
      </c>
      <c r="AY43" s="15">
        <f t="shared" si="6"/>
        <v>0</v>
      </c>
      <c r="AZ43" s="19">
        <f>AZ41</f>
        <v>0.22</v>
      </c>
      <c r="BA43" s="19">
        <f t="shared" si="7"/>
        <v>0</v>
      </c>
      <c r="BB43" s="19">
        <f t="shared" si="19"/>
        <v>0</v>
      </c>
    </row>
    <row r="44" spans="1:54" s="21" customFormat="1" ht="18.75" thickBot="1" x14ac:dyDescent="0.4">
      <c r="A44" s="59">
        <f>A43+FLOOR(365/$M$2,1)</f>
        <v>46319</v>
      </c>
      <c r="B44" s="57"/>
      <c r="C44" s="49">
        <f t="shared" si="21"/>
        <v>0</v>
      </c>
      <c r="D44" s="29"/>
      <c r="E44" s="49">
        <f t="shared" si="22"/>
        <v>0</v>
      </c>
      <c r="F44" s="29"/>
      <c r="G44" s="49">
        <f t="shared" si="23"/>
        <v>0</v>
      </c>
      <c r="H44" s="29"/>
      <c r="I44" s="49">
        <f t="shared" si="24"/>
        <v>0</v>
      </c>
      <c r="J44" s="14">
        <f t="shared" si="8"/>
        <v>0</v>
      </c>
      <c r="K44" s="14">
        <f t="shared" si="37"/>
        <v>0</v>
      </c>
      <c r="L44" s="17">
        <f>IF(J44=0,0,K44/J42)</f>
        <v>0</v>
      </c>
      <c r="M44" s="16">
        <f>M42</f>
        <v>52</v>
      </c>
      <c r="N44" s="34"/>
      <c r="O44" s="25">
        <f t="shared" si="9"/>
        <v>0</v>
      </c>
      <c r="P44" s="15">
        <f t="shared" si="0"/>
        <v>0</v>
      </c>
      <c r="Q44" s="17">
        <f t="shared" si="36"/>
        <v>0</v>
      </c>
      <c r="R44" s="34">
        <f>R42</f>
        <v>0.2</v>
      </c>
      <c r="S44" s="15" t="b">
        <f t="shared" si="10"/>
        <v>0</v>
      </c>
      <c r="T44" s="34">
        <f>T42</f>
        <v>-0.2</v>
      </c>
      <c r="U44" s="15" t="b">
        <f t="shared" si="10"/>
        <v>0</v>
      </c>
      <c r="V44" s="34">
        <f>V42</f>
        <v>0.1</v>
      </c>
      <c r="W44" s="34">
        <f>W42</f>
        <v>-0.1</v>
      </c>
      <c r="X44" s="25">
        <f t="shared" si="28"/>
        <v>0</v>
      </c>
      <c r="Y44" s="18">
        <f t="shared" si="1"/>
        <v>0</v>
      </c>
      <c r="Z44" s="15">
        <f t="shared" si="2"/>
        <v>0</v>
      </c>
      <c r="AA44" s="15">
        <f t="shared" si="29"/>
        <v>0</v>
      </c>
      <c r="AB44" s="60">
        <v>1</v>
      </c>
      <c r="AC44" s="14">
        <f>AC42</f>
        <v>0</v>
      </c>
      <c r="AD44" s="15">
        <f t="shared" si="31"/>
        <v>0</v>
      </c>
      <c r="AE44" s="29"/>
      <c r="AF44" s="20">
        <f>AF42+AE44</f>
        <v>0</v>
      </c>
      <c r="AG44" s="10">
        <v>0.85</v>
      </c>
      <c r="AH44" s="29"/>
      <c r="AI44" s="20">
        <f>AI42+AH44</f>
        <v>0</v>
      </c>
      <c r="AJ44" s="29"/>
      <c r="AK44" s="20">
        <f t="shared" si="47"/>
        <v>0</v>
      </c>
      <c r="AL44" s="15">
        <f t="shared" si="32"/>
        <v>0</v>
      </c>
      <c r="AM44" s="15">
        <f t="shared" si="15"/>
        <v>0</v>
      </c>
      <c r="AN44" s="15">
        <v>0</v>
      </c>
      <c r="AO44" s="39">
        <f t="shared" si="16"/>
        <v>0</v>
      </c>
      <c r="AP44" s="15">
        <f t="shared" si="33"/>
        <v>0</v>
      </c>
      <c r="AQ44" s="34">
        <v>0</v>
      </c>
      <c r="AR44" s="15">
        <f t="shared" si="3"/>
        <v>0</v>
      </c>
      <c r="AS44" s="15">
        <f t="shared" si="17"/>
        <v>0</v>
      </c>
      <c r="AT44" s="34">
        <v>1</v>
      </c>
      <c r="AU44" s="15">
        <f t="shared" si="4"/>
        <v>0</v>
      </c>
      <c r="AV44" s="15">
        <f t="shared" si="34"/>
        <v>0</v>
      </c>
      <c r="AW44" s="39">
        <f t="shared" si="5"/>
        <v>576.92307692307691</v>
      </c>
      <c r="AX44" s="39">
        <f t="shared" si="18"/>
        <v>-576.92307692307691</v>
      </c>
      <c r="AY44" s="15">
        <f t="shared" si="6"/>
        <v>0</v>
      </c>
      <c r="AZ44" s="19">
        <f>AZ42</f>
        <v>0.22</v>
      </c>
      <c r="BA44" s="19">
        <f t="shared" si="7"/>
        <v>0</v>
      </c>
      <c r="BB44" s="19">
        <f t="shared" si="19"/>
        <v>0</v>
      </c>
    </row>
    <row r="45" spans="1:54" s="21" customFormat="1" ht="18.75" thickBot="1" x14ac:dyDescent="0.4">
      <c r="A45" s="59">
        <f t="shared" si="20"/>
        <v>46326</v>
      </c>
      <c r="B45" s="57"/>
      <c r="C45" s="49">
        <f t="shared" si="21"/>
        <v>0</v>
      </c>
      <c r="D45" s="29"/>
      <c r="E45" s="49">
        <f t="shared" si="22"/>
        <v>0</v>
      </c>
      <c r="F45" s="29"/>
      <c r="G45" s="49">
        <f t="shared" si="23"/>
        <v>0</v>
      </c>
      <c r="H45" s="29"/>
      <c r="I45" s="49">
        <f t="shared" si="24"/>
        <v>0</v>
      </c>
      <c r="J45" s="14">
        <f t="shared" si="8"/>
        <v>0</v>
      </c>
      <c r="K45" s="14">
        <f t="shared" si="37"/>
        <v>0</v>
      </c>
      <c r="L45" s="17">
        <f t="shared" ref="L45:L48" si="49">IF(J45=0,0,K45/J44)</f>
        <v>0</v>
      </c>
      <c r="M45" s="16">
        <f t="shared" ref="M45:M48" si="50">M44</f>
        <v>52</v>
      </c>
      <c r="N45" s="34"/>
      <c r="O45" s="25">
        <f t="shared" si="9"/>
        <v>0</v>
      </c>
      <c r="P45" s="15">
        <f t="shared" si="0"/>
        <v>0</v>
      </c>
      <c r="Q45" s="17">
        <f t="shared" si="36"/>
        <v>0</v>
      </c>
      <c r="R45" s="34">
        <f t="shared" ref="R45:R48" si="51">R44</f>
        <v>0.2</v>
      </c>
      <c r="S45" s="15" t="b">
        <f t="shared" si="10"/>
        <v>0</v>
      </c>
      <c r="T45" s="34">
        <f t="shared" ref="T45:T48" si="52">T44</f>
        <v>-0.2</v>
      </c>
      <c r="U45" s="15" t="b">
        <f t="shared" si="10"/>
        <v>0</v>
      </c>
      <c r="V45" s="34">
        <f t="shared" ref="V45:W48" si="53">V44</f>
        <v>0.1</v>
      </c>
      <c r="W45" s="34">
        <f t="shared" si="53"/>
        <v>-0.1</v>
      </c>
      <c r="X45" s="25">
        <f t="shared" si="28"/>
        <v>0</v>
      </c>
      <c r="Y45" s="18">
        <f t="shared" si="1"/>
        <v>0</v>
      </c>
      <c r="Z45" s="15">
        <f t="shared" si="2"/>
        <v>0</v>
      </c>
      <c r="AA45" s="15">
        <f t="shared" si="29"/>
        <v>0</v>
      </c>
      <c r="AB45" s="60">
        <v>1</v>
      </c>
      <c r="AC45" s="14">
        <f t="shared" ref="AC45:AC48" si="54">AC44</f>
        <v>0</v>
      </c>
      <c r="AD45" s="15">
        <f t="shared" si="31"/>
        <v>0</v>
      </c>
      <c r="AE45" s="29"/>
      <c r="AF45" s="20">
        <f t="shared" ref="AF45:AF48" si="55">AF44+AE45</f>
        <v>0</v>
      </c>
      <c r="AG45" s="10">
        <v>0.85</v>
      </c>
      <c r="AH45" s="29"/>
      <c r="AI45" s="20">
        <f t="shared" ref="AI45:AI54" si="56">AI44+AH45</f>
        <v>0</v>
      </c>
      <c r="AJ45" s="29"/>
      <c r="AK45" s="20">
        <f t="shared" si="47"/>
        <v>0</v>
      </c>
      <c r="AL45" s="15">
        <f t="shared" si="32"/>
        <v>0</v>
      </c>
      <c r="AM45" s="15">
        <f t="shared" si="15"/>
        <v>0</v>
      </c>
      <c r="AN45" s="15">
        <v>0</v>
      </c>
      <c r="AO45" s="39">
        <f t="shared" si="16"/>
        <v>0</v>
      </c>
      <c r="AP45" s="15">
        <f t="shared" si="33"/>
        <v>0</v>
      </c>
      <c r="AQ45" s="34">
        <v>0</v>
      </c>
      <c r="AR45" s="15">
        <f t="shared" si="3"/>
        <v>0</v>
      </c>
      <c r="AS45" s="15">
        <f t="shared" si="17"/>
        <v>0</v>
      </c>
      <c r="AT45" s="34">
        <v>1</v>
      </c>
      <c r="AU45" s="15">
        <f t="shared" si="4"/>
        <v>0</v>
      </c>
      <c r="AV45" s="15">
        <f t="shared" si="34"/>
        <v>0</v>
      </c>
      <c r="AW45" s="39">
        <f t="shared" si="5"/>
        <v>576.92307692307691</v>
      </c>
      <c r="AX45" s="39">
        <f t="shared" si="18"/>
        <v>-576.92307692307691</v>
      </c>
      <c r="AY45" s="15">
        <f t="shared" si="6"/>
        <v>0</v>
      </c>
      <c r="AZ45" s="19">
        <f t="shared" ref="AZ45:AZ48" si="57">AZ44</f>
        <v>0.22</v>
      </c>
      <c r="BA45" s="19">
        <f t="shared" si="7"/>
        <v>0</v>
      </c>
      <c r="BB45" s="19">
        <f t="shared" si="19"/>
        <v>0</v>
      </c>
    </row>
    <row r="46" spans="1:54" s="21" customFormat="1" ht="18.75" thickBot="1" x14ac:dyDescent="0.4">
      <c r="A46" s="59">
        <f t="shared" si="20"/>
        <v>46333</v>
      </c>
      <c r="B46" s="57"/>
      <c r="C46" s="49">
        <f t="shared" si="21"/>
        <v>0</v>
      </c>
      <c r="D46" s="29"/>
      <c r="E46" s="49">
        <f t="shared" si="22"/>
        <v>0</v>
      </c>
      <c r="F46" s="29"/>
      <c r="G46" s="49">
        <f t="shared" si="23"/>
        <v>0</v>
      </c>
      <c r="H46" s="29"/>
      <c r="I46" s="49">
        <f t="shared" si="24"/>
        <v>0</v>
      </c>
      <c r="J46" s="14">
        <f t="shared" si="8"/>
        <v>0</v>
      </c>
      <c r="K46" s="14">
        <f t="shared" si="37"/>
        <v>0</v>
      </c>
      <c r="L46" s="17">
        <f t="shared" si="49"/>
        <v>0</v>
      </c>
      <c r="M46" s="16">
        <f t="shared" si="50"/>
        <v>52</v>
      </c>
      <c r="N46" s="34"/>
      <c r="O46" s="25">
        <f t="shared" si="9"/>
        <v>0</v>
      </c>
      <c r="P46" s="15">
        <f t="shared" si="0"/>
        <v>0</v>
      </c>
      <c r="Q46" s="17">
        <f t="shared" si="36"/>
        <v>0</v>
      </c>
      <c r="R46" s="34">
        <f t="shared" si="51"/>
        <v>0.2</v>
      </c>
      <c r="S46" s="15" t="b">
        <f t="shared" si="10"/>
        <v>0</v>
      </c>
      <c r="T46" s="34">
        <f t="shared" si="52"/>
        <v>-0.2</v>
      </c>
      <c r="U46" s="15" t="b">
        <f t="shared" si="10"/>
        <v>0</v>
      </c>
      <c r="V46" s="34">
        <f t="shared" si="53"/>
        <v>0.1</v>
      </c>
      <c r="W46" s="34">
        <f t="shared" si="53"/>
        <v>-0.1</v>
      </c>
      <c r="X46" s="25">
        <f t="shared" si="28"/>
        <v>0</v>
      </c>
      <c r="Y46" s="18">
        <f t="shared" si="1"/>
        <v>0</v>
      </c>
      <c r="Z46" s="15">
        <f t="shared" si="2"/>
        <v>0</v>
      </c>
      <c r="AA46" s="15">
        <f t="shared" si="29"/>
        <v>0</v>
      </c>
      <c r="AB46" s="60">
        <v>1</v>
      </c>
      <c r="AC46" s="14">
        <f t="shared" si="54"/>
        <v>0</v>
      </c>
      <c r="AD46" s="15">
        <f t="shared" si="31"/>
        <v>0</v>
      </c>
      <c r="AE46" s="29"/>
      <c r="AF46" s="20">
        <f t="shared" si="55"/>
        <v>0</v>
      </c>
      <c r="AG46" s="10">
        <v>0.85</v>
      </c>
      <c r="AH46" s="29"/>
      <c r="AI46" s="20">
        <f t="shared" si="56"/>
        <v>0</v>
      </c>
      <c r="AJ46" s="29"/>
      <c r="AK46" s="20">
        <f t="shared" si="47"/>
        <v>0</v>
      </c>
      <c r="AL46" s="15">
        <f t="shared" si="32"/>
        <v>0</v>
      </c>
      <c r="AM46" s="15">
        <f t="shared" si="15"/>
        <v>0</v>
      </c>
      <c r="AN46" s="15">
        <v>0</v>
      </c>
      <c r="AO46" s="39">
        <f t="shared" si="16"/>
        <v>0</v>
      </c>
      <c r="AP46" s="15">
        <f t="shared" si="33"/>
        <v>0</v>
      </c>
      <c r="AQ46" s="34">
        <v>0</v>
      </c>
      <c r="AR46" s="15">
        <f t="shared" si="3"/>
        <v>0</v>
      </c>
      <c r="AS46" s="15">
        <f t="shared" si="17"/>
        <v>0</v>
      </c>
      <c r="AT46" s="34">
        <v>1</v>
      </c>
      <c r="AU46" s="15">
        <f t="shared" si="4"/>
        <v>0</v>
      </c>
      <c r="AV46" s="15">
        <f t="shared" si="34"/>
        <v>0</v>
      </c>
      <c r="AW46" s="39">
        <f t="shared" si="5"/>
        <v>576.92307692307691</v>
      </c>
      <c r="AX46" s="39">
        <f t="shared" si="18"/>
        <v>-576.92307692307691</v>
      </c>
      <c r="AY46" s="15">
        <f t="shared" si="6"/>
        <v>0</v>
      </c>
      <c r="AZ46" s="19">
        <f t="shared" si="57"/>
        <v>0.22</v>
      </c>
      <c r="BA46" s="19">
        <f t="shared" si="7"/>
        <v>0</v>
      </c>
      <c r="BB46" s="19">
        <f t="shared" si="19"/>
        <v>0</v>
      </c>
    </row>
    <row r="47" spans="1:54" s="21" customFormat="1" ht="18.75" thickBot="1" x14ac:dyDescent="0.4">
      <c r="A47" s="59">
        <f t="shared" si="20"/>
        <v>46340</v>
      </c>
      <c r="B47" s="57"/>
      <c r="C47" s="49">
        <f t="shared" si="21"/>
        <v>0</v>
      </c>
      <c r="D47" s="29"/>
      <c r="E47" s="49">
        <f t="shared" si="22"/>
        <v>0</v>
      </c>
      <c r="F47" s="29"/>
      <c r="G47" s="49">
        <f t="shared" si="23"/>
        <v>0</v>
      </c>
      <c r="H47" s="29"/>
      <c r="I47" s="49">
        <f t="shared" si="24"/>
        <v>0</v>
      </c>
      <c r="J47" s="14">
        <f t="shared" si="8"/>
        <v>0</v>
      </c>
      <c r="K47" s="14">
        <f t="shared" si="37"/>
        <v>0</v>
      </c>
      <c r="L47" s="17">
        <f t="shared" si="49"/>
        <v>0</v>
      </c>
      <c r="M47" s="16">
        <f t="shared" si="50"/>
        <v>52</v>
      </c>
      <c r="N47" s="34"/>
      <c r="O47" s="25">
        <f t="shared" si="9"/>
        <v>0</v>
      </c>
      <c r="P47" s="15">
        <f t="shared" si="0"/>
        <v>0</v>
      </c>
      <c r="Q47" s="17">
        <f t="shared" si="36"/>
        <v>0</v>
      </c>
      <c r="R47" s="34">
        <f t="shared" si="51"/>
        <v>0.2</v>
      </c>
      <c r="S47" s="15" t="b">
        <f t="shared" si="10"/>
        <v>0</v>
      </c>
      <c r="T47" s="34">
        <f t="shared" si="52"/>
        <v>-0.2</v>
      </c>
      <c r="U47" s="15" t="b">
        <f t="shared" si="10"/>
        <v>0</v>
      </c>
      <c r="V47" s="34">
        <f t="shared" si="53"/>
        <v>0.1</v>
      </c>
      <c r="W47" s="34">
        <f t="shared" si="53"/>
        <v>-0.1</v>
      </c>
      <c r="X47" s="25">
        <f t="shared" si="28"/>
        <v>0</v>
      </c>
      <c r="Y47" s="18">
        <f t="shared" si="1"/>
        <v>0</v>
      </c>
      <c r="Z47" s="15">
        <f t="shared" si="2"/>
        <v>0</v>
      </c>
      <c r="AA47" s="15">
        <f t="shared" si="29"/>
        <v>0</v>
      </c>
      <c r="AB47" s="60">
        <v>1</v>
      </c>
      <c r="AC47" s="14">
        <f t="shared" si="54"/>
        <v>0</v>
      </c>
      <c r="AD47" s="15">
        <f t="shared" si="31"/>
        <v>0</v>
      </c>
      <c r="AE47" s="29"/>
      <c r="AF47" s="20">
        <f t="shared" si="55"/>
        <v>0</v>
      </c>
      <c r="AG47" s="10">
        <v>0.85</v>
      </c>
      <c r="AH47" s="29"/>
      <c r="AI47" s="20">
        <f t="shared" si="56"/>
        <v>0</v>
      </c>
      <c r="AJ47" s="29"/>
      <c r="AK47" s="20">
        <f t="shared" si="47"/>
        <v>0</v>
      </c>
      <c r="AL47" s="15">
        <f t="shared" si="32"/>
        <v>0</v>
      </c>
      <c r="AM47" s="15">
        <f t="shared" si="15"/>
        <v>0</v>
      </c>
      <c r="AN47" s="15">
        <v>0</v>
      </c>
      <c r="AO47" s="39">
        <f t="shared" si="16"/>
        <v>0</v>
      </c>
      <c r="AP47" s="15">
        <f t="shared" si="33"/>
        <v>0</v>
      </c>
      <c r="AQ47" s="34">
        <v>0</v>
      </c>
      <c r="AR47" s="15">
        <f t="shared" si="3"/>
        <v>0</v>
      </c>
      <c r="AS47" s="15">
        <f t="shared" si="17"/>
        <v>0</v>
      </c>
      <c r="AT47" s="34">
        <v>1</v>
      </c>
      <c r="AU47" s="15">
        <f t="shared" si="4"/>
        <v>0</v>
      </c>
      <c r="AV47" s="15">
        <f t="shared" si="34"/>
        <v>0</v>
      </c>
      <c r="AW47" s="39">
        <f t="shared" si="5"/>
        <v>576.92307692307691</v>
      </c>
      <c r="AX47" s="39">
        <f t="shared" si="18"/>
        <v>-576.92307692307691</v>
      </c>
      <c r="AY47" s="15">
        <f t="shared" si="6"/>
        <v>0</v>
      </c>
      <c r="AZ47" s="19">
        <f t="shared" si="57"/>
        <v>0.22</v>
      </c>
      <c r="BA47" s="19">
        <f t="shared" si="7"/>
        <v>0</v>
      </c>
      <c r="BB47" s="19">
        <f t="shared" si="19"/>
        <v>0</v>
      </c>
    </row>
    <row r="48" spans="1:54" s="21" customFormat="1" ht="18.75" thickBot="1" x14ac:dyDescent="0.4">
      <c r="A48" s="59">
        <f t="shared" si="20"/>
        <v>46347</v>
      </c>
      <c r="B48" s="57"/>
      <c r="C48" s="49">
        <f t="shared" si="21"/>
        <v>0</v>
      </c>
      <c r="D48" s="29"/>
      <c r="E48" s="49">
        <f t="shared" si="22"/>
        <v>0</v>
      </c>
      <c r="F48" s="29"/>
      <c r="G48" s="49">
        <f t="shared" si="23"/>
        <v>0</v>
      </c>
      <c r="H48" s="29"/>
      <c r="I48" s="49">
        <f t="shared" si="24"/>
        <v>0</v>
      </c>
      <c r="J48" s="14">
        <f t="shared" si="8"/>
        <v>0</v>
      </c>
      <c r="K48" s="14">
        <f t="shared" si="37"/>
        <v>0</v>
      </c>
      <c r="L48" s="17">
        <f t="shared" si="49"/>
        <v>0</v>
      </c>
      <c r="M48" s="16">
        <f t="shared" si="50"/>
        <v>52</v>
      </c>
      <c r="N48" s="34"/>
      <c r="O48" s="25">
        <f t="shared" si="9"/>
        <v>0</v>
      </c>
      <c r="P48" s="15">
        <f t="shared" si="0"/>
        <v>0</v>
      </c>
      <c r="Q48" s="17">
        <f t="shared" si="36"/>
        <v>0</v>
      </c>
      <c r="R48" s="34">
        <f t="shared" si="51"/>
        <v>0.2</v>
      </c>
      <c r="S48" s="15" t="b">
        <f t="shared" si="10"/>
        <v>0</v>
      </c>
      <c r="T48" s="34">
        <f t="shared" si="52"/>
        <v>-0.2</v>
      </c>
      <c r="U48" s="15" t="b">
        <f t="shared" si="10"/>
        <v>0</v>
      </c>
      <c r="V48" s="34">
        <f t="shared" si="53"/>
        <v>0.1</v>
      </c>
      <c r="W48" s="34">
        <f t="shared" si="53"/>
        <v>-0.1</v>
      </c>
      <c r="X48" s="25">
        <f t="shared" si="28"/>
        <v>0</v>
      </c>
      <c r="Y48" s="18">
        <f t="shared" si="1"/>
        <v>0</v>
      </c>
      <c r="Z48" s="15">
        <f t="shared" si="2"/>
        <v>0</v>
      </c>
      <c r="AA48" s="15">
        <f t="shared" si="29"/>
        <v>0</v>
      </c>
      <c r="AB48" s="60">
        <v>1</v>
      </c>
      <c r="AC48" s="14">
        <f t="shared" si="54"/>
        <v>0</v>
      </c>
      <c r="AD48" s="15">
        <f t="shared" si="31"/>
        <v>0</v>
      </c>
      <c r="AE48" s="29"/>
      <c r="AF48" s="20">
        <f t="shared" si="55"/>
        <v>0</v>
      </c>
      <c r="AG48" s="10">
        <v>0.85</v>
      </c>
      <c r="AH48" s="29"/>
      <c r="AI48" s="20">
        <f t="shared" si="56"/>
        <v>0</v>
      </c>
      <c r="AJ48" s="29"/>
      <c r="AK48" s="20">
        <f t="shared" si="47"/>
        <v>0</v>
      </c>
      <c r="AL48" s="15">
        <f t="shared" si="32"/>
        <v>0</v>
      </c>
      <c r="AM48" s="15">
        <f t="shared" si="15"/>
        <v>0</v>
      </c>
      <c r="AN48" s="15">
        <v>0</v>
      </c>
      <c r="AO48" s="39">
        <f t="shared" si="16"/>
        <v>0</v>
      </c>
      <c r="AP48" s="15">
        <f t="shared" si="33"/>
        <v>0</v>
      </c>
      <c r="AQ48" s="34">
        <v>0</v>
      </c>
      <c r="AR48" s="15">
        <f t="shared" si="3"/>
        <v>0</v>
      </c>
      <c r="AS48" s="15">
        <f t="shared" si="17"/>
        <v>0</v>
      </c>
      <c r="AT48" s="34">
        <v>1</v>
      </c>
      <c r="AU48" s="15">
        <f t="shared" si="4"/>
        <v>0</v>
      </c>
      <c r="AV48" s="15">
        <f t="shared" si="34"/>
        <v>0</v>
      </c>
      <c r="AW48" s="39">
        <f t="shared" si="5"/>
        <v>576.92307692307691</v>
      </c>
      <c r="AX48" s="39">
        <f t="shared" si="18"/>
        <v>-576.92307692307691</v>
      </c>
      <c r="AY48" s="15">
        <f t="shared" si="6"/>
        <v>0</v>
      </c>
      <c r="AZ48" s="19">
        <f t="shared" si="57"/>
        <v>0.22</v>
      </c>
      <c r="BA48" s="19">
        <f t="shared" si="7"/>
        <v>0</v>
      </c>
      <c r="BB48" s="19">
        <f t="shared" si="19"/>
        <v>0</v>
      </c>
    </row>
    <row r="49" spans="1:54" s="21" customFormat="1" ht="18.75" thickBot="1" x14ac:dyDescent="0.4">
      <c r="A49" s="59">
        <f t="shared" si="20"/>
        <v>46354</v>
      </c>
      <c r="B49" s="57"/>
      <c r="C49" s="49">
        <f t="shared" si="21"/>
        <v>0</v>
      </c>
      <c r="D49" s="29"/>
      <c r="E49" s="49">
        <f t="shared" si="22"/>
        <v>0</v>
      </c>
      <c r="F49" s="29"/>
      <c r="G49" s="49">
        <f t="shared" si="23"/>
        <v>0</v>
      </c>
      <c r="H49" s="29"/>
      <c r="I49" s="49">
        <f t="shared" si="24"/>
        <v>0</v>
      </c>
      <c r="J49" s="14">
        <f t="shared" si="8"/>
        <v>0</v>
      </c>
      <c r="K49" s="14">
        <f t="shared" si="37"/>
        <v>0</v>
      </c>
      <c r="L49" s="17">
        <f>IF(J49=0,0,K49/J47)</f>
        <v>0</v>
      </c>
      <c r="M49" s="16">
        <f>M47</f>
        <v>52</v>
      </c>
      <c r="N49" s="34"/>
      <c r="O49" s="25">
        <f t="shared" si="9"/>
        <v>0</v>
      </c>
      <c r="P49" s="15">
        <f t="shared" si="0"/>
        <v>0</v>
      </c>
      <c r="Q49" s="17">
        <f t="shared" si="36"/>
        <v>0</v>
      </c>
      <c r="R49" s="34">
        <f>R47</f>
        <v>0.2</v>
      </c>
      <c r="S49" s="15" t="b">
        <f t="shared" si="10"/>
        <v>0</v>
      </c>
      <c r="T49" s="34">
        <f>T47</f>
        <v>-0.2</v>
      </c>
      <c r="U49" s="15" t="b">
        <f t="shared" si="10"/>
        <v>0</v>
      </c>
      <c r="V49" s="34">
        <f t="shared" ref="V49:W51" si="58">V47</f>
        <v>0.1</v>
      </c>
      <c r="W49" s="34">
        <f t="shared" si="58"/>
        <v>-0.1</v>
      </c>
      <c r="X49" s="25">
        <f t="shared" si="28"/>
        <v>0</v>
      </c>
      <c r="Y49" s="18">
        <f t="shared" si="1"/>
        <v>0</v>
      </c>
      <c r="Z49" s="15">
        <f t="shared" si="2"/>
        <v>0</v>
      </c>
      <c r="AA49" s="15">
        <f t="shared" si="29"/>
        <v>0</v>
      </c>
      <c r="AB49" s="60">
        <v>1</v>
      </c>
      <c r="AC49" s="14">
        <f>AC47</f>
        <v>0</v>
      </c>
      <c r="AD49" s="15">
        <f t="shared" si="31"/>
        <v>0</v>
      </c>
      <c r="AE49" s="29"/>
      <c r="AF49" s="20">
        <f>AF47+AE49</f>
        <v>0</v>
      </c>
      <c r="AG49" s="10">
        <v>0.85</v>
      </c>
      <c r="AH49" s="29"/>
      <c r="AI49" s="20">
        <f t="shared" si="56"/>
        <v>0</v>
      </c>
      <c r="AJ49" s="29"/>
      <c r="AK49" s="20">
        <f t="shared" si="47"/>
        <v>0</v>
      </c>
      <c r="AL49" s="15">
        <f t="shared" si="32"/>
        <v>0</v>
      </c>
      <c r="AM49" s="15">
        <f t="shared" si="15"/>
        <v>0</v>
      </c>
      <c r="AN49" s="15">
        <v>0</v>
      </c>
      <c r="AO49" s="39">
        <f t="shared" si="16"/>
        <v>0</v>
      </c>
      <c r="AP49" s="15">
        <f t="shared" si="33"/>
        <v>0</v>
      </c>
      <c r="AQ49" s="34">
        <v>0</v>
      </c>
      <c r="AR49" s="15">
        <f t="shared" si="3"/>
        <v>0</v>
      </c>
      <c r="AS49" s="15">
        <f t="shared" si="17"/>
        <v>0</v>
      </c>
      <c r="AT49" s="34">
        <v>1</v>
      </c>
      <c r="AU49" s="15">
        <f t="shared" si="4"/>
        <v>0</v>
      </c>
      <c r="AV49" s="15">
        <f t="shared" si="34"/>
        <v>0</v>
      </c>
      <c r="AW49" s="39">
        <f t="shared" si="5"/>
        <v>576.92307692307691</v>
      </c>
      <c r="AX49" s="39">
        <f t="shared" si="18"/>
        <v>-576.92307692307691</v>
      </c>
      <c r="AY49" s="15">
        <f t="shared" si="6"/>
        <v>0</v>
      </c>
      <c r="AZ49" s="19">
        <f>AZ47</f>
        <v>0.22</v>
      </c>
      <c r="BA49" s="19">
        <f t="shared" si="7"/>
        <v>0</v>
      </c>
      <c r="BB49" s="19">
        <f t="shared" si="19"/>
        <v>0</v>
      </c>
    </row>
    <row r="50" spans="1:54" s="21" customFormat="1" ht="18.75" thickBot="1" x14ac:dyDescent="0.4">
      <c r="A50" s="59">
        <f t="shared" si="20"/>
        <v>46361</v>
      </c>
      <c r="B50" s="57"/>
      <c r="C50" s="49">
        <f t="shared" si="21"/>
        <v>0</v>
      </c>
      <c r="D50" s="29"/>
      <c r="E50" s="49">
        <f t="shared" si="22"/>
        <v>0</v>
      </c>
      <c r="F50" s="29"/>
      <c r="G50" s="49">
        <f t="shared" si="23"/>
        <v>0</v>
      </c>
      <c r="H50" s="29"/>
      <c r="I50" s="49">
        <f t="shared" si="24"/>
        <v>0</v>
      </c>
      <c r="J50" s="14">
        <f t="shared" si="8"/>
        <v>0</v>
      </c>
      <c r="K50" s="14">
        <f t="shared" si="37"/>
        <v>0</v>
      </c>
      <c r="L50" s="17">
        <f>IF(J50=0,0,K50/J48)</f>
        <v>0</v>
      </c>
      <c r="M50" s="16">
        <f>M48</f>
        <v>52</v>
      </c>
      <c r="N50" s="34"/>
      <c r="O50" s="25">
        <f t="shared" si="9"/>
        <v>0</v>
      </c>
      <c r="P50" s="15">
        <f t="shared" si="0"/>
        <v>0</v>
      </c>
      <c r="Q50" s="17">
        <f t="shared" si="36"/>
        <v>0</v>
      </c>
      <c r="R50" s="34">
        <f>R48</f>
        <v>0.2</v>
      </c>
      <c r="S50" s="15" t="b">
        <f t="shared" si="10"/>
        <v>0</v>
      </c>
      <c r="T50" s="34">
        <f>T48</f>
        <v>-0.2</v>
      </c>
      <c r="U50" s="15" t="b">
        <f t="shared" si="10"/>
        <v>0</v>
      </c>
      <c r="V50" s="34">
        <f t="shared" si="58"/>
        <v>0.1</v>
      </c>
      <c r="W50" s="34">
        <f t="shared" si="58"/>
        <v>-0.1</v>
      </c>
      <c r="X50" s="25">
        <f t="shared" si="28"/>
        <v>0</v>
      </c>
      <c r="Y50" s="18">
        <f t="shared" si="1"/>
        <v>0</v>
      </c>
      <c r="Z50" s="15">
        <f t="shared" si="2"/>
        <v>0</v>
      </c>
      <c r="AA50" s="15">
        <f t="shared" si="29"/>
        <v>0</v>
      </c>
      <c r="AB50" s="60">
        <v>1</v>
      </c>
      <c r="AC50" s="14">
        <f>AC48</f>
        <v>0</v>
      </c>
      <c r="AD50" s="15">
        <f t="shared" si="31"/>
        <v>0</v>
      </c>
      <c r="AE50" s="29"/>
      <c r="AF50" s="20">
        <f>AF48+AE50</f>
        <v>0</v>
      </c>
      <c r="AG50" s="10">
        <v>0.85</v>
      </c>
      <c r="AH50" s="29"/>
      <c r="AI50" s="20">
        <f t="shared" si="56"/>
        <v>0</v>
      </c>
      <c r="AJ50" s="29"/>
      <c r="AK50" s="20">
        <f t="shared" si="47"/>
        <v>0</v>
      </c>
      <c r="AL50" s="15">
        <f t="shared" si="32"/>
        <v>0</v>
      </c>
      <c r="AM50" s="15">
        <f t="shared" si="15"/>
        <v>0</v>
      </c>
      <c r="AN50" s="15">
        <v>0</v>
      </c>
      <c r="AO50" s="39">
        <f t="shared" si="16"/>
        <v>0</v>
      </c>
      <c r="AP50" s="15">
        <f t="shared" si="33"/>
        <v>0</v>
      </c>
      <c r="AQ50" s="34">
        <v>0</v>
      </c>
      <c r="AR50" s="15">
        <f t="shared" si="3"/>
        <v>0</v>
      </c>
      <c r="AS50" s="15">
        <f t="shared" si="17"/>
        <v>0</v>
      </c>
      <c r="AT50" s="34">
        <v>1</v>
      </c>
      <c r="AU50" s="15">
        <f t="shared" si="4"/>
        <v>0</v>
      </c>
      <c r="AV50" s="15">
        <f t="shared" si="34"/>
        <v>0</v>
      </c>
      <c r="AW50" s="39">
        <f t="shared" si="5"/>
        <v>576.92307692307691</v>
      </c>
      <c r="AX50" s="39">
        <f t="shared" si="18"/>
        <v>-576.92307692307691</v>
      </c>
      <c r="AY50" s="15">
        <f t="shared" si="6"/>
        <v>0</v>
      </c>
      <c r="AZ50" s="19">
        <f>AZ48</f>
        <v>0.22</v>
      </c>
      <c r="BA50" s="19">
        <f t="shared" si="7"/>
        <v>0</v>
      </c>
      <c r="BB50" s="19">
        <f t="shared" si="19"/>
        <v>0</v>
      </c>
    </row>
    <row r="51" spans="1:54" s="21" customFormat="1" ht="18.75" thickBot="1" x14ac:dyDescent="0.4">
      <c r="A51" s="59">
        <f t="shared" si="20"/>
        <v>46368</v>
      </c>
      <c r="B51" s="57"/>
      <c r="C51" s="49">
        <f t="shared" si="21"/>
        <v>0</v>
      </c>
      <c r="D51" s="29"/>
      <c r="E51" s="49">
        <f t="shared" si="22"/>
        <v>0</v>
      </c>
      <c r="F51" s="29"/>
      <c r="G51" s="49">
        <f t="shared" si="23"/>
        <v>0</v>
      </c>
      <c r="H51" s="29"/>
      <c r="I51" s="49">
        <f>IF(J51&lt;=0,0,H51/J51)</f>
        <v>0</v>
      </c>
      <c r="J51" s="14">
        <f>B51+D51+F51+H51</f>
        <v>0</v>
      </c>
      <c r="K51" s="14">
        <f t="shared" si="37"/>
        <v>0</v>
      </c>
      <c r="L51" s="17">
        <f>IF(J51=0,0,K51/J49)</f>
        <v>0</v>
      </c>
      <c r="M51" s="16">
        <f>M49</f>
        <v>52</v>
      </c>
      <c r="N51" s="34"/>
      <c r="O51" s="25">
        <f t="shared" si="9"/>
        <v>0</v>
      </c>
      <c r="P51" s="15">
        <f t="shared" si="0"/>
        <v>0</v>
      </c>
      <c r="Q51" s="17">
        <f t="shared" si="36"/>
        <v>0</v>
      </c>
      <c r="R51" s="34">
        <f>R49</f>
        <v>0.2</v>
      </c>
      <c r="S51" s="15" t="b">
        <f t="shared" si="10"/>
        <v>0</v>
      </c>
      <c r="T51" s="34">
        <f>T49</f>
        <v>-0.2</v>
      </c>
      <c r="U51" s="15" t="b">
        <f t="shared" si="10"/>
        <v>0</v>
      </c>
      <c r="V51" s="34">
        <f t="shared" si="58"/>
        <v>0.1</v>
      </c>
      <c r="W51" s="34">
        <f t="shared" si="58"/>
        <v>-0.1</v>
      </c>
      <c r="X51" s="25">
        <f t="shared" si="28"/>
        <v>0</v>
      </c>
      <c r="Y51" s="18">
        <f t="shared" si="1"/>
        <v>0</v>
      </c>
      <c r="Z51" s="15">
        <f t="shared" si="2"/>
        <v>0</v>
      </c>
      <c r="AA51" s="15">
        <f t="shared" si="29"/>
        <v>0</v>
      </c>
      <c r="AB51" s="60">
        <v>1</v>
      </c>
      <c r="AC51" s="14">
        <f>AC49</f>
        <v>0</v>
      </c>
      <c r="AD51" s="15">
        <f t="shared" si="31"/>
        <v>0</v>
      </c>
      <c r="AE51" s="29"/>
      <c r="AF51" s="20">
        <f>AF49+AE51</f>
        <v>0</v>
      </c>
      <c r="AG51" s="10">
        <v>0.85</v>
      </c>
      <c r="AH51" s="29"/>
      <c r="AI51" s="20">
        <f t="shared" si="56"/>
        <v>0</v>
      </c>
      <c r="AJ51" s="29"/>
      <c r="AK51" s="20">
        <f t="shared" si="47"/>
        <v>0</v>
      </c>
      <c r="AL51" s="15">
        <f t="shared" si="32"/>
        <v>0</v>
      </c>
      <c r="AM51" s="15">
        <f t="shared" si="15"/>
        <v>0</v>
      </c>
      <c r="AN51" s="15">
        <v>0</v>
      </c>
      <c r="AO51" s="39">
        <f t="shared" si="16"/>
        <v>0</v>
      </c>
      <c r="AP51" s="15">
        <f t="shared" si="33"/>
        <v>0</v>
      </c>
      <c r="AQ51" s="34">
        <v>0</v>
      </c>
      <c r="AR51" s="15">
        <f t="shared" si="3"/>
        <v>0</v>
      </c>
      <c r="AS51" s="15">
        <f t="shared" si="17"/>
        <v>0</v>
      </c>
      <c r="AT51" s="34">
        <v>1</v>
      </c>
      <c r="AU51" s="15">
        <f t="shared" si="4"/>
        <v>0</v>
      </c>
      <c r="AV51" s="15">
        <f t="shared" si="34"/>
        <v>0</v>
      </c>
      <c r="AW51" s="39">
        <f t="shared" si="5"/>
        <v>576.92307692307691</v>
      </c>
      <c r="AX51" s="39">
        <f t="shared" si="18"/>
        <v>-576.92307692307691</v>
      </c>
      <c r="AY51" s="15">
        <f t="shared" si="6"/>
        <v>0</v>
      </c>
      <c r="AZ51" s="19">
        <f>AZ49</f>
        <v>0.22</v>
      </c>
      <c r="BA51" s="19">
        <f t="shared" si="7"/>
        <v>0</v>
      </c>
      <c r="BB51" s="19">
        <f t="shared" si="19"/>
        <v>0</v>
      </c>
    </row>
    <row r="52" spans="1:54" s="21" customFormat="1" ht="18.75" thickBot="1" x14ac:dyDescent="0.4">
      <c r="A52" s="59">
        <f t="shared" si="20"/>
        <v>46375</v>
      </c>
      <c r="B52" s="57"/>
      <c r="C52" s="49">
        <f t="shared" si="21"/>
        <v>0</v>
      </c>
      <c r="D52" s="29"/>
      <c r="E52" s="49">
        <f t="shared" si="22"/>
        <v>0</v>
      </c>
      <c r="F52" s="29"/>
      <c r="G52" s="49">
        <f t="shared" si="23"/>
        <v>0</v>
      </c>
      <c r="H52" s="29"/>
      <c r="I52" s="49">
        <f>IF(J52&lt;=0,0,H52/J52)</f>
        <v>0</v>
      </c>
      <c r="J52" s="14">
        <f>B52+D52+F52+H52</f>
        <v>0</v>
      </c>
      <c r="K52" s="14">
        <f t="shared" si="37"/>
        <v>0</v>
      </c>
      <c r="L52" s="17">
        <f>IF(J52=0,0,K52/J49)</f>
        <v>0</v>
      </c>
      <c r="M52" s="16">
        <f>M49</f>
        <v>52</v>
      </c>
      <c r="N52" s="34"/>
      <c r="O52" s="25">
        <f t="shared" si="9"/>
        <v>0</v>
      </c>
      <c r="P52" s="15">
        <f t="shared" si="0"/>
        <v>0</v>
      </c>
      <c r="Q52" s="17">
        <f t="shared" si="36"/>
        <v>0</v>
      </c>
      <c r="R52" s="34">
        <f>R49</f>
        <v>0.2</v>
      </c>
      <c r="S52" s="15" t="b">
        <f t="shared" si="10"/>
        <v>0</v>
      </c>
      <c r="T52" s="34">
        <f>T49</f>
        <v>-0.2</v>
      </c>
      <c r="U52" s="15" t="b">
        <f t="shared" si="10"/>
        <v>0</v>
      </c>
      <c r="V52" s="34">
        <f>V49</f>
        <v>0.1</v>
      </c>
      <c r="W52" s="34">
        <f>W49</f>
        <v>-0.1</v>
      </c>
      <c r="X52" s="25">
        <f t="shared" si="28"/>
        <v>0</v>
      </c>
      <c r="Y52" s="18">
        <f t="shared" si="1"/>
        <v>0</v>
      </c>
      <c r="Z52" s="15">
        <f t="shared" si="2"/>
        <v>0</v>
      </c>
      <c r="AA52" s="15">
        <f t="shared" si="29"/>
        <v>0</v>
      </c>
      <c r="AB52" s="60">
        <v>1</v>
      </c>
      <c r="AC52" s="14">
        <f>AC49</f>
        <v>0</v>
      </c>
      <c r="AD52" s="15">
        <f t="shared" si="31"/>
        <v>0</v>
      </c>
      <c r="AE52" s="29"/>
      <c r="AF52" s="20">
        <f>AF49+AE52</f>
        <v>0</v>
      </c>
      <c r="AG52" s="10">
        <v>0.85</v>
      </c>
      <c r="AH52" s="29"/>
      <c r="AI52" s="20">
        <f t="shared" si="56"/>
        <v>0</v>
      </c>
      <c r="AJ52" s="29"/>
      <c r="AK52" s="20">
        <f t="shared" si="47"/>
        <v>0</v>
      </c>
      <c r="AL52" s="15">
        <f t="shared" si="32"/>
        <v>0</v>
      </c>
      <c r="AM52" s="15">
        <f t="shared" si="15"/>
        <v>0</v>
      </c>
      <c r="AN52" s="15">
        <v>0</v>
      </c>
      <c r="AO52" s="39">
        <f t="shared" si="16"/>
        <v>0</v>
      </c>
      <c r="AP52" s="15">
        <f t="shared" si="33"/>
        <v>0</v>
      </c>
      <c r="AQ52" s="34">
        <v>0</v>
      </c>
      <c r="AR52" s="15">
        <f t="shared" si="3"/>
        <v>0</v>
      </c>
      <c r="AS52" s="15">
        <f t="shared" si="17"/>
        <v>0</v>
      </c>
      <c r="AT52" s="34">
        <v>1</v>
      </c>
      <c r="AU52" s="15">
        <f t="shared" si="4"/>
        <v>0</v>
      </c>
      <c r="AV52" s="15">
        <f t="shared" si="34"/>
        <v>0</v>
      </c>
      <c r="AW52" s="39">
        <f t="shared" si="5"/>
        <v>576.92307692307691</v>
      </c>
      <c r="AX52" s="39">
        <f t="shared" si="18"/>
        <v>-576.92307692307691</v>
      </c>
      <c r="AY52" s="15">
        <f t="shared" si="6"/>
        <v>0</v>
      </c>
      <c r="AZ52" s="19">
        <f>AZ49</f>
        <v>0.22</v>
      </c>
      <c r="BA52" s="19">
        <f t="shared" si="7"/>
        <v>0</v>
      </c>
      <c r="BB52" s="19">
        <f t="shared" si="19"/>
        <v>0</v>
      </c>
    </row>
    <row r="53" spans="1:54" s="21" customFormat="1" ht="18.75" thickBot="1" x14ac:dyDescent="0.4">
      <c r="A53" s="59">
        <f t="shared" si="20"/>
        <v>46382</v>
      </c>
      <c r="B53" s="57"/>
      <c r="C53" s="49">
        <f t="shared" si="21"/>
        <v>0</v>
      </c>
      <c r="D53" s="29"/>
      <c r="E53" s="49">
        <f t="shared" si="22"/>
        <v>0</v>
      </c>
      <c r="F53" s="29"/>
      <c r="G53" s="49">
        <f t="shared" si="23"/>
        <v>0</v>
      </c>
      <c r="H53" s="29"/>
      <c r="I53" s="49">
        <f t="shared" si="24"/>
        <v>0</v>
      </c>
      <c r="J53" s="14">
        <f t="shared" si="8"/>
        <v>0</v>
      </c>
      <c r="K53" s="14">
        <f t="shared" si="37"/>
        <v>0</v>
      </c>
      <c r="L53" s="17">
        <f>IF(J53=0,0,K53/J50)</f>
        <v>0</v>
      </c>
      <c r="M53" s="16">
        <f>M50</f>
        <v>52</v>
      </c>
      <c r="N53" s="34"/>
      <c r="O53" s="25">
        <f t="shared" si="9"/>
        <v>0</v>
      </c>
      <c r="P53" s="15">
        <f t="shared" si="0"/>
        <v>0</v>
      </c>
      <c r="Q53" s="17">
        <f t="shared" si="36"/>
        <v>0</v>
      </c>
      <c r="R53" s="34">
        <f>R50</f>
        <v>0.2</v>
      </c>
      <c r="S53" s="15" t="b">
        <f t="shared" si="10"/>
        <v>0</v>
      </c>
      <c r="T53" s="34">
        <f>T50</f>
        <v>-0.2</v>
      </c>
      <c r="U53" s="15" t="b">
        <f t="shared" si="10"/>
        <v>0</v>
      </c>
      <c r="V53" s="34">
        <f>V50</f>
        <v>0.1</v>
      </c>
      <c r="W53" s="34">
        <f>W50</f>
        <v>-0.1</v>
      </c>
      <c r="X53" s="25">
        <f t="shared" si="28"/>
        <v>0</v>
      </c>
      <c r="Y53" s="18">
        <f t="shared" si="1"/>
        <v>0</v>
      </c>
      <c r="Z53" s="15">
        <f t="shared" si="2"/>
        <v>0</v>
      </c>
      <c r="AA53" s="15">
        <f t="shared" si="29"/>
        <v>0</v>
      </c>
      <c r="AB53" s="60">
        <v>1</v>
      </c>
      <c r="AC53" s="14">
        <f>AC50</f>
        <v>0</v>
      </c>
      <c r="AD53" s="15">
        <f t="shared" si="31"/>
        <v>0</v>
      </c>
      <c r="AE53" s="29"/>
      <c r="AF53" s="20">
        <f>AF50+AE53</f>
        <v>0</v>
      </c>
      <c r="AG53" s="10">
        <v>0.85</v>
      </c>
      <c r="AH53" s="29"/>
      <c r="AI53" s="20">
        <f t="shared" si="56"/>
        <v>0</v>
      </c>
      <c r="AJ53" s="29"/>
      <c r="AK53" s="20">
        <f t="shared" si="47"/>
        <v>0</v>
      </c>
      <c r="AL53" s="15">
        <f t="shared" si="32"/>
        <v>0</v>
      </c>
      <c r="AM53" s="15">
        <f t="shared" si="15"/>
        <v>0</v>
      </c>
      <c r="AN53" s="15">
        <v>0</v>
      </c>
      <c r="AO53" s="39">
        <f t="shared" si="16"/>
        <v>0</v>
      </c>
      <c r="AP53" s="15">
        <f t="shared" si="33"/>
        <v>0</v>
      </c>
      <c r="AQ53" s="34">
        <v>0</v>
      </c>
      <c r="AR53" s="15">
        <f t="shared" si="3"/>
        <v>0</v>
      </c>
      <c r="AS53" s="15">
        <f t="shared" si="17"/>
        <v>0</v>
      </c>
      <c r="AT53" s="34">
        <v>1</v>
      </c>
      <c r="AU53" s="15">
        <f t="shared" si="4"/>
        <v>0</v>
      </c>
      <c r="AV53" s="15">
        <f t="shared" si="34"/>
        <v>0</v>
      </c>
      <c r="AW53" s="39">
        <f t="shared" si="5"/>
        <v>576.92307692307691</v>
      </c>
      <c r="AX53" s="39">
        <f t="shared" si="18"/>
        <v>-576.92307692307691</v>
      </c>
      <c r="AY53" s="15">
        <f t="shared" si="6"/>
        <v>0</v>
      </c>
      <c r="AZ53" s="19">
        <f>AZ50</f>
        <v>0.22</v>
      </c>
      <c r="BA53" s="19">
        <f t="shared" si="7"/>
        <v>0</v>
      </c>
      <c r="BB53" s="19">
        <f t="shared" si="19"/>
        <v>0</v>
      </c>
    </row>
    <row r="54" spans="1:54" s="21" customFormat="1" ht="18.75" thickBot="1" x14ac:dyDescent="0.4">
      <c r="A54" s="59">
        <f>A53+FLOOR(365/$M$2,1)-1</f>
        <v>46388</v>
      </c>
      <c r="B54" s="57"/>
      <c r="C54" s="49">
        <f t="shared" si="21"/>
        <v>0</v>
      </c>
      <c r="D54" s="29"/>
      <c r="E54" s="49">
        <f t="shared" si="22"/>
        <v>0</v>
      </c>
      <c r="F54" s="29"/>
      <c r="G54" s="49">
        <f t="shared" si="23"/>
        <v>0</v>
      </c>
      <c r="H54" s="29"/>
      <c r="I54" s="49">
        <f t="shared" si="24"/>
        <v>0</v>
      </c>
      <c r="J54" s="14">
        <f t="shared" si="8"/>
        <v>0</v>
      </c>
      <c r="K54" s="14">
        <f t="shared" si="37"/>
        <v>0</v>
      </c>
      <c r="L54" s="17">
        <f>IF(J54=0,0,K54/J28)</f>
        <v>0</v>
      </c>
      <c r="M54" s="16">
        <f>M28</f>
        <v>52</v>
      </c>
      <c r="N54" s="34"/>
      <c r="O54" s="25">
        <f t="shared" si="9"/>
        <v>0</v>
      </c>
      <c r="P54" s="15">
        <f t="shared" si="0"/>
        <v>0</v>
      </c>
      <c r="Q54" s="17">
        <f t="shared" si="36"/>
        <v>0</v>
      </c>
      <c r="R54" s="34">
        <f>R28</f>
        <v>0.2</v>
      </c>
      <c r="S54" s="15" t="b">
        <f t="shared" si="10"/>
        <v>0</v>
      </c>
      <c r="T54" s="34">
        <f>T28</f>
        <v>-0.2</v>
      </c>
      <c r="U54" s="15" t="b">
        <f t="shared" si="10"/>
        <v>0</v>
      </c>
      <c r="V54" s="34">
        <f>V28</f>
        <v>0.1</v>
      </c>
      <c r="W54" s="34">
        <f>W28</f>
        <v>-0.1</v>
      </c>
      <c r="X54" s="25">
        <f t="shared" si="28"/>
        <v>0</v>
      </c>
      <c r="Y54" s="18">
        <f t="shared" si="1"/>
        <v>0</v>
      </c>
      <c r="Z54" s="15">
        <f t="shared" si="2"/>
        <v>0</v>
      </c>
      <c r="AA54" s="15">
        <f t="shared" si="29"/>
        <v>0</v>
      </c>
      <c r="AB54" s="60">
        <v>1</v>
      </c>
      <c r="AC54" s="23">
        <f>AC28</f>
        <v>0</v>
      </c>
      <c r="AD54" s="15">
        <f t="shared" si="31"/>
        <v>0</v>
      </c>
      <c r="AE54" s="36"/>
      <c r="AF54" s="20">
        <f>AF28+AE54</f>
        <v>0</v>
      </c>
      <c r="AG54" s="10">
        <v>0.85</v>
      </c>
      <c r="AH54" s="36"/>
      <c r="AI54" s="20">
        <f t="shared" si="56"/>
        <v>0</v>
      </c>
      <c r="AJ54" s="36"/>
      <c r="AK54" s="20">
        <f t="shared" si="47"/>
        <v>0</v>
      </c>
      <c r="AL54" s="15">
        <f t="shared" si="32"/>
        <v>0</v>
      </c>
      <c r="AM54" s="15">
        <f t="shared" si="15"/>
        <v>0</v>
      </c>
      <c r="AN54" s="15">
        <v>0</v>
      </c>
      <c r="AO54" s="39">
        <f>$AO$55/M54</f>
        <v>0</v>
      </c>
      <c r="AP54" s="15">
        <f t="shared" si="33"/>
        <v>0</v>
      </c>
      <c r="AQ54" s="34">
        <v>0</v>
      </c>
      <c r="AR54" s="15">
        <f t="shared" si="3"/>
        <v>0</v>
      </c>
      <c r="AS54" s="15">
        <f t="shared" si="17"/>
        <v>0</v>
      </c>
      <c r="AT54" s="34">
        <v>0</v>
      </c>
      <c r="AU54" s="15">
        <f t="shared" si="4"/>
        <v>0</v>
      </c>
      <c r="AV54" s="15">
        <f t="shared" si="34"/>
        <v>0</v>
      </c>
      <c r="AW54" s="39">
        <f t="shared" si="5"/>
        <v>576.92307692307691</v>
      </c>
      <c r="AX54" s="39">
        <f t="shared" si="18"/>
        <v>-576.92307692307691</v>
      </c>
      <c r="AY54" s="15">
        <f>$AY$55/M54</f>
        <v>0</v>
      </c>
      <c r="AZ54" s="19">
        <f>AZ28</f>
        <v>0.22</v>
      </c>
      <c r="BA54" s="19">
        <f t="shared" si="7"/>
        <v>0</v>
      </c>
      <c r="BB54" s="19">
        <f t="shared" si="19"/>
        <v>0</v>
      </c>
    </row>
    <row r="55" spans="1:54" s="21" customFormat="1" ht="18.75" thickBot="1" x14ac:dyDescent="0.4">
      <c r="A55" s="38" t="s">
        <v>13</v>
      </c>
      <c r="B55" s="53"/>
      <c r="C55" s="52"/>
      <c r="D55" s="53"/>
      <c r="E55" s="52"/>
      <c r="F55" s="53"/>
      <c r="G55" s="52"/>
      <c r="H55" s="53"/>
      <c r="I55" s="52"/>
      <c r="J55" s="27">
        <f>MAX(J2:J54)</f>
        <v>0</v>
      </c>
      <c r="L55" s="72">
        <f>SUM(L2:L54)</f>
        <v>0</v>
      </c>
      <c r="M55" s="61" t="s">
        <v>103</v>
      </c>
      <c r="N55" s="71">
        <f>SUM(N2:N54)</f>
        <v>2.0000000000000001E-4</v>
      </c>
      <c r="Y55" s="72">
        <f>SUM(Y2:Y54)</f>
        <v>9.8690461499436884E-4</v>
      </c>
      <c r="Z55" s="27">
        <f>SUM(Z2:Z54)</f>
        <v>0</v>
      </c>
      <c r="AC55" s="27">
        <f>SUM(AC2:AC54)</f>
        <v>0</v>
      </c>
      <c r="AE55" s="27">
        <f>SUM(AE2:AE54)</f>
        <v>0</v>
      </c>
      <c r="AH55" s="27">
        <f>SUM(AH2:AH54)</f>
        <v>0</v>
      </c>
      <c r="AJ55" s="27">
        <f>SUM(AJ2:AJ54)</f>
        <v>0</v>
      </c>
      <c r="AL55" s="27">
        <f>SUM(AL2:AL54)</f>
        <v>0</v>
      </c>
      <c r="AO55" s="27">
        <v>0</v>
      </c>
      <c r="AR55" s="27">
        <f>SUM(AR2:AR54)</f>
        <v>0</v>
      </c>
      <c r="AU55" s="27">
        <f>SUM(AU2:AU54)</f>
        <v>0</v>
      </c>
      <c r="AW55" s="27">
        <v>30000</v>
      </c>
      <c r="AY55" s="27">
        <v>0</v>
      </c>
    </row>
    <row r="56" spans="1:54" s="21" customFormat="1" ht="18.75" thickBot="1" x14ac:dyDescent="0.4">
      <c r="A56" s="67"/>
      <c r="B56" s="53"/>
      <c r="C56" s="52"/>
      <c r="D56" s="53"/>
      <c r="E56" s="52"/>
      <c r="F56" s="53"/>
      <c r="G56" s="52"/>
      <c r="H56" s="53"/>
      <c r="I56" s="52"/>
      <c r="J56" s="68"/>
      <c r="M56" s="61" t="s">
        <v>104</v>
      </c>
      <c r="N56" s="71"/>
      <c r="AY56" s="24"/>
    </row>
    <row r="57" spans="1:54" s="21" customFormat="1" ht="36.75" thickBot="1" x14ac:dyDescent="0.4">
      <c r="B57" s="31" t="s">
        <v>106</v>
      </c>
      <c r="C57" s="31" t="s">
        <v>107</v>
      </c>
      <c r="D57" s="31" t="s">
        <v>108</v>
      </c>
      <c r="E57" s="31" t="s">
        <v>109</v>
      </c>
      <c r="F57" s="31" t="s">
        <v>110</v>
      </c>
      <c r="G57" s="31" t="s">
        <v>111</v>
      </c>
      <c r="H57" s="31" t="s">
        <v>112</v>
      </c>
      <c r="I57" s="31" t="s">
        <v>113</v>
      </c>
      <c r="J57" s="31" t="s">
        <v>114</v>
      </c>
      <c r="K57" s="64"/>
      <c r="L57" s="48" t="s">
        <v>76</v>
      </c>
      <c r="P57" s="54"/>
      <c r="R57" s="48" t="s">
        <v>100</v>
      </c>
      <c r="U57" s="48" t="s">
        <v>130</v>
      </c>
      <c r="AC57" s="81" t="s">
        <v>91</v>
      </c>
      <c r="AD57" s="31" t="s">
        <v>121</v>
      </c>
      <c r="AH57" s="75" t="s">
        <v>12</v>
      </c>
      <c r="AJ57" s="75" t="s">
        <v>135</v>
      </c>
    </row>
    <row r="58" spans="1:54" s="77" customFormat="1" ht="54.75" thickBot="1" x14ac:dyDescent="0.4">
      <c r="A58" s="75" t="s">
        <v>105</v>
      </c>
      <c r="B58" s="62">
        <v>0</v>
      </c>
      <c r="C58" s="63">
        <v>0</v>
      </c>
      <c r="D58" s="62">
        <v>0</v>
      </c>
      <c r="E58" s="63">
        <v>0</v>
      </c>
      <c r="F58" s="62">
        <v>0</v>
      </c>
      <c r="G58" s="63">
        <v>0</v>
      </c>
      <c r="H58" s="62">
        <v>0</v>
      </c>
      <c r="I58" s="63">
        <v>0</v>
      </c>
      <c r="J58" s="65">
        <f>(B58*C58)+(D58*E58)+(F58*G58)+(H58*I58)</f>
        <v>0</v>
      </c>
      <c r="K58" s="64"/>
      <c r="L58" s="76">
        <v>1000000</v>
      </c>
      <c r="P58" s="78"/>
      <c r="Q58" s="79" t="s">
        <v>115</v>
      </c>
      <c r="R58" s="80" t="e">
        <f>AO55/(J55+AC63)</f>
        <v>#DIV/0!</v>
      </c>
      <c r="U58" s="80" t="e">
        <f>(B27+D27+H27)/J27</f>
        <v>#DIV/0!</v>
      </c>
      <c r="AC58" s="44">
        <v>0</v>
      </c>
      <c r="AD58" s="45" t="s">
        <v>92</v>
      </c>
      <c r="AH58" s="80" t="e">
        <f>AH55/(AC63+J55)</f>
        <v>#DIV/0!</v>
      </c>
      <c r="AJ58" s="82">
        <v>85205.6</v>
      </c>
    </row>
    <row r="59" spans="1:54" s="21" customFormat="1" ht="18.75" thickBot="1" x14ac:dyDescent="0.4">
      <c r="A59" s="1"/>
      <c r="B59" s="53"/>
      <c r="C59" s="52"/>
      <c r="D59" s="69"/>
      <c r="F59" s="66"/>
      <c r="H59" s="43"/>
      <c r="I59" s="52"/>
      <c r="J59" s="52"/>
      <c r="K59" s="52"/>
      <c r="L59" s="47" t="e">
        <f>L58/J2</f>
        <v>#DIV/0!</v>
      </c>
      <c r="M59" s="47" t="s">
        <v>77</v>
      </c>
      <c r="P59" s="54"/>
      <c r="Q59" s="47" t="s">
        <v>101</v>
      </c>
      <c r="R59" s="72" t="e">
        <f>AY55/(J55+AC63)</f>
        <v>#DIV/0!</v>
      </c>
      <c r="V59" s="70"/>
      <c r="AC59" s="14">
        <v>0</v>
      </c>
      <c r="AD59" s="46" t="s">
        <v>93</v>
      </c>
      <c r="AJ59" s="80" t="e">
        <f>AJ58/(AC63+J55)</f>
        <v>#DIV/0!</v>
      </c>
    </row>
    <row r="60" spans="1:54" s="21" customFormat="1" ht="18.75" thickBot="1" x14ac:dyDescent="0.4">
      <c r="A60" s="1"/>
      <c r="B60" s="53"/>
      <c r="C60" s="52"/>
      <c r="D60" s="69"/>
      <c r="F60" s="43"/>
      <c r="I60" s="52"/>
      <c r="K60" s="52"/>
      <c r="L60" s="47">
        <v>1</v>
      </c>
      <c r="M60" s="47" t="s">
        <v>78</v>
      </c>
      <c r="P60" s="54"/>
      <c r="Q60" s="47" t="s">
        <v>102</v>
      </c>
      <c r="R60" s="72" t="e">
        <f>SUM(R58:R59)</f>
        <v>#DIV/0!</v>
      </c>
      <c r="AC60" s="14">
        <v>0</v>
      </c>
      <c r="AD60" s="46" t="s">
        <v>90</v>
      </c>
    </row>
    <row r="61" spans="1:54" s="21" customFormat="1" ht="18" x14ac:dyDescent="0.35">
      <c r="A61" s="1"/>
      <c r="B61" s="53"/>
      <c r="C61" s="52"/>
      <c r="D61" s="43"/>
      <c r="F61" s="69"/>
      <c r="H61" s="43"/>
      <c r="I61" s="52"/>
      <c r="N61" s="54"/>
      <c r="AC61" s="14">
        <v>0</v>
      </c>
      <c r="AD61" s="46" t="s">
        <v>94</v>
      </c>
    </row>
    <row r="62" spans="1:54" s="21" customFormat="1" ht="18" x14ac:dyDescent="0.35">
      <c r="A62" s="1"/>
      <c r="B62" s="53"/>
      <c r="C62" s="52"/>
      <c r="D62" s="43"/>
      <c r="E62" s="43"/>
      <c r="F62" s="43"/>
      <c r="G62" s="43"/>
      <c r="I62" s="52"/>
      <c r="N62" s="54"/>
      <c r="AC62" s="14">
        <v>0</v>
      </c>
      <c r="AD62" s="46" t="s">
        <v>99</v>
      </c>
    </row>
    <row r="63" spans="1:54" s="21" customFormat="1" ht="18" x14ac:dyDescent="0.35">
      <c r="A63" s="1"/>
      <c r="B63" s="53"/>
      <c r="C63" s="52"/>
      <c r="E63" s="52"/>
      <c r="G63" s="52"/>
      <c r="H63" s="53"/>
      <c r="I63" s="52"/>
      <c r="AC63" s="14">
        <v>0</v>
      </c>
      <c r="AD63" s="46" t="s">
        <v>99</v>
      </c>
    </row>
    <row r="64" spans="1:54" s="21" customFormat="1" ht="18" x14ac:dyDescent="0.35">
      <c r="A64" s="1"/>
      <c r="F64" s="53"/>
    </row>
    <row r="89" spans="2:18" ht="18" x14ac:dyDescent="0.35">
      <c r="B89" s="50" t="s">
        <v>79</v>
      </c>
      <c r="J89" s="50" t="s">
        <v>80</v>
      </c>
      <c r="R89" s="50" t="s">
        <v>81</v>
      </c>
    </row>
  </sheetData>
  <conditionalFormatting sqref="BA2:BB54">
    <cfRule type="cellIs" dxfId="1" priority="1" operator="greaterThan">
      <formula>$AZ$2</formula>
    </cfRule>
    <cfRule type="cellIs" dxfId="0" priority="2" operator="greaterThan">
      <formula>"2$AS$2"</formula>
    </cfRule>
  </conditionalFormatting>
  <pageMargins left="0.75" right="0.75" top="0.75" bottom="0.5" header="0.5" footer="0.75"/>
  <pageSetup orientation="portrait" r:id="rId1"/>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54521D-A904-46E9-AE68-1A1CA02A8436}">
  <sheetPr>
    <tabColor rgb="FF7030A0"/>
  </sheetPr>
  <dimension ref="A1:M13"/>
  <sheetViews>
    <sheetView workbookViewId="0">
      <selection activeCell="N1" sqref="N1"/>
    </sheetView>
  </sheetViews>
  <sheetFormatPr defaultRowHeight="15" x14ac:dyDescent="0.25"/>
  <cols>
    <col min="1" max="1" width="6.42578125" bestFit="1" customWidth="1"/>
    <col min="2" max="2" width="12" bestFit="1" customWidth="1"/>
    <col min="3" max="3" width="13.5703125" bestFit="1" customWidth="1"/>
    <col min="4" max="4" width="18.5703125" bestFit="1" customWidth="1"/>
    <col min="5" max="5" width="10.140625" bestFit="1" customWidth="1"/>
    <col min="6" max="6" width="14.5703125" customWidth="1"/>
    <col min="7" max="7" width="14.5703125" bestFit="1" customWidth="1"/>
    <col min="8" max="9" width="9.140625" bestFit="1" customWidth="1"/>
    <col min="10" max="10" width="14.42578125" bestFit="1" customWidth="1"/>
    <col min="12" max="12" width="18" bestFit="1" customWidth="1"/>
    <col min="13" max="13" width="12.5703125" bestFit="1" customWidth="1"/>
  </cols>
  <sheetData>
    <row r="1" spans="1:13" ht="36.75" thickBot="1" x14ac:dyDescent="0.4">
      <c r="A1" s="83" t="s">
        <v>133</v>
      </c>
      <c r="B1" s="83" t="s">
        <v>107</v>
      </c>
      <c r="C1" s="83" t="s">
        <v>109</v>
      </c>
      <c r="D1" s="83" t="s">
        <v>111</v>
      </c>
      <c r="E1" s="83" t="s">
        <v>113</v>
      </c>
      <c r="F1" s="83" t="s">
        <v>136</v>
      </c>
      <c r="G1" s="84" t="s">
        <v>130</v>
      </c>
      <c r="H1" s="83" t="s">
        <v>115</v>
      </c>
      <c r="I1" s="83" t="s">
        <v>101</v>
      </c>
      <c r="J1" s="83" t="s">
        <v>134</v>
      </c>
      <c r="K1" s="83" t="s">
        <v>23</v>
      </c>
      <c r="L1" s="85" t="s">
        <v>12</v>
      </c>
      <c r="M1" s="85" t="s">
        <v>135</v>
      </c>
    </row>
    <row r="2" spans="1:13" ht="18.75" thickBot="1" x14ac:dyDescent="0.3">
      <c r="A2" s="86">
        <v>2017</v>
      </c>
      <c r="B2" s="87"/>
      <c r="C2" s="87"/>
      <c r="D2" s="87"/>
      <c r="E2" s="87"/>
      <c r="F2" s="87">
        <v>0.14449999999999999</v>
      </c>
      <c r="G2" s="87"/>
      <c r="H2" s="87"/>
      <c r="I2" s="87"/>
      <c r="J2" s="87"/>
      <c r="K2" s="87"/>
      <c r="L2" s="87"/>
      <c r="M2" s="87"/>
    </row>
    <row r="3" spans="1:13" ht="18.75" thickBot="1" x14ac:dyDescent="0.3">
      <c r="A3" s="86">
        <f t="shared" ref="A3:A9" si="0">A2+1</f>
        <v>2018</v>
      </c>
      <c r="B3" s="87"/>
      <c r="C3" s="87"/>
      <c r="D3" s="87"/>
      <c r="E3" s="87"/>
      <c r="F3" s="88">
        <v>-8.8499999999999995E-2</v>
      </c>
      <c r="G3" s="87"/>
      <c r="H3" s="87"/>
      <c r="I3" s="87"/>
      <c r="J3" s="87"/>
      <c r="K3" s="87"/>
      <c r="L3" s="87"/>
      <c r="M3" s="87"/>
    </row>
    <row r="4" spans="1:13" ht="18.75" thickBot="1" x14ac:dyDescent="0.3">
      <c r="A4" s="86">
        <f t="shared" si="0"/>
        <v>2019</v>
      </c>
      <c r="B4" s="87"/>
      <c r="C4" s="87"/>
      <c r="D4" s="87"/>
      <c r="E4" s="87"/>
      <c r="F4" s="87">
        <v>0.25480000000000003</v>
      </c>
      <c r="G4" s="87"/>
      <c r="H4" s="87"/>
      <c r="I4" s="87"/>
      <c r="J4" s="87"/>
      <c r="K4" s="87"/>
      <c r="L4" s="87"/>
      <c r="M4" s="87"/>
    </row>
    <row r="5" spans="1:13" ht="18.75" thickBot="1" x14ac:dyDescent="0.3">
      <c r="A5" s="86">
        <f t="shared" si="0"/>
        <v>2020</v>
      </c>
      <c r="B5" s="87"/>
      <c r="C5" s="87"/>
      <c r="D5" s="87"/>
      <c r="E5" s="87"/>
      <c r="F5" s="87">
        <v>0.12280000000000001</v>
      </c>
      <c r="G5" s="87"/>
      <c r="H5" s="87"/>
      <c r="I5" s="87"/>
      <c r="J5" s="87"/>
      <c r="K5" s="87"/>
      <c r="L5" s="87"/>
      <c r="M5" s="87"/>
    </row>
    <row r="6" spans="1:13" ht="18.75" thickBot="1" x14ac:dyDescent="0.3">
      <c r="A6" s="86">
        <f t="shared" si="0"/>
        <v>2021</v>
      </c>
      <c r="B6" s="87"/>
      <c r="C6" s="87"/>
      <c r="D6" s="87"/>
      <c r="E6" s="87"/>
      <c r="F6" s="87">
        <v>0.1255</v>
      </c>
      <c r="G6" s="87"/>
      <c r="H6" s="87"/>
      <c r="I6" s="87"/>
      <c r="J6" s="87"/>
      <c r="K6" s="87"/>
      <c r="L6" s="87"/>
      <c r="M6" s="87"/>
    </row>
    <row r="7" spans="1:13" ht="18.75" thickBot="1" x14ac:dyDescent="0.3">
      <c r="A7" s="86">
        <f t="shared" si="0"/>
        <v>2022</v>
      </c>
      <c r="B7" s="87"/>
      <c r="C7" s="87"/>
      <c r="D7" s="87"/>
      <c r="E7" s="87"/>
      <c r="F7" s="88">
        <v>-0.17829999999999999</v>
      </c>
      <c r="G7" s="87"/>
      <c r="H7" s="87"/>
      <c r="I7" s="87"/>
      <c r="J7" s="87"/>
      <c r="K7" s="87"/>
      <c r="L7" s="87"/>
      <c r="M7" s="87"/>
    </row>
    <row r="8" spans="1:13" ht="18.75" thickBot="1" x14ac:dyDescent="0.3">
      <c r="A8" s="86">
        <f t="shared" si="0"/>
        <v>2023</v>
      </c>
      <c r="B8" s="87">
        <v>9.5248038294149087E-2</v>
      </c>
      <c r="C8" s="87">
        <v>0.14606758679241882</v>
      </c>
      <c r="D8" s="87">
        <v>0.75826201175247732</v>
      </c>
      <c r="E8" s="87">
        <v>4.223631609547577E-4</v>
      </c>
      <c r="F8" s="87">
        <v>9.5366754674231627E-2</v>
      </c>
      <c r="G8" s="87">
        <f>$G$12-D8</f>
        <v>0.24173798824752268</v>
      </c>
      <c r="H8" s="87">
        <v>3.0045335996962168E-2</v>
      </c>
      <c r="I8" s="87">
        <v>1.7687655784530222E-2</v>
      </c>
      <c r="J8" s="87">
        <f>H8+I8</f>
        <v>4.7732991781492387E-2</v>
      </c>
      <c r="K8" s="87">
        <v>3.8350000000000016E-2</v>
      </c>
      <c r="L8" s="87">
        <v>6.4551728010865686E-2</v>
      </c>
      <c r="M8" s="87">
        <v>2.8972082115379189E-2</v>
      </c>
    </row>
    <row r="9" spans="1:13" ht="18.75" thickBot="1" x14ac:dyDescent="0.3">
      <c r="A9" s="86">
        <f t="shared" si="0"/>
        <v>2024</v>
      </c>
      <c r="B9" s="87">
        <v>6.5302334061537043E-2</v>
      </c>
      <c r="C9" s="87">
        <v>0.22989392705621262</v>
      </c>
      <c r="D9" s="87">
        <v>0.62067253901710306</v>
      </c>
      <c r="E9" s="87">
        <v>8.4131199865147416E-2</v>
      </c>
      <c r="F9" s="87">
        <v>0.15214230686920244</v>
      </c>
      <c r="G9" s="87">
        <f>$G$12-D9</f>
        <v>0.37932746098289694</v>
      </c>
      <c r="H9" s="87">
        <v>2.9170507634678586E-2</v>
      </c>
      <c r="I9" s="87">
        <v>2.5038875691301095E-2</v>
      </c>
      <c r="J9" s="87">
        <f t="shared" ref="J9" si="1">H9+I9</f>
        <v>5.4209383325979681E-2</v>
      </c>
      <c r="K9" s="87">
        <v>2.5800000000000003E-2</v>
      </c>
      <c r="L9" s="87">
        <v>4.5185311752590461E-2</v>
      </c>
      <c r="M9" s="87">
        <v>2.4851921463924752E-2</v>
      </c>
    </row>
    <row r="10" spans="1:13" ht="18.75" thickBot="1" x14ac:dyDescent="0.3">
      <c r="A10" s="86">
        <f t="shared" ref="A10" si="2">A9+1</f>
        <v>2025</v>
      </c>
      <c r="B10" s="87">
        <v>7.6357587024378573E-2</v>
      </c>
      <c r="C10" s="87">
        <v>0.35012673212484169</v>
      </c>
      <c r="D10" s="87">
        <v>0.4920990073951238</v>
      </c>
      <c r="E10" s="87">
        <v>8.1416673455655911E-2</v>
      </c>
      <c r="F10" s="87">
        <v>0.18143691663009229</v>
      </c>
      <c r="G10" s="87">
        <f>$G$12-D10</f>
        <v>0.5079009926048762</v>
      </c>
      <c r="H10" s="87">
        <v>3.7986101885566288E-2</v>
      </c>
      <c r="I10" s="87">
        <v>2.5625261346905216E-2</v>
      </c>
      <c r="J10" s="87">
        <v>6.3611363232471504E-2</v>
      </c>
      <c r="K10" s="87">
        <v>2.9989999999999999E-2</v>
      </c>
      <c r="L10" s="87">
        <v>5.0681550169589924E-2</v>
      </c>
      <c r="M10" s="87">
        <v>1.9075464068598023E-2</v>
      </c>
    </row>
    <row r="11" spans="1:13" ht="15.75" thickBot="1" x14ac:dyDescent="0.3"/>
    <row r="12" spans="1:13" ht="18.75" thickBot="1" x14ac:dyDescent="0.3">
      <c r="A12" s="89" t="s">
        <v>137</v>
      </c>
      <c r="B12" s="90">
        <v>0.1</v>
      </c>
      <c r="C12" s="90">
        <v>0.8</v>
      </c>
      <c r="D12" s="90">
        <v>0.05</v>
      </c>
      <c r="E12" s="90">
        <v>0.05</v>
      </c>
      <c r="F12" s="90"/>
      <c r="G12" s="90">
        <v>1</v>
      </c>
      <c r="H12" s="90"/>
      <c r="I12" s="90"/>
      <c r="J12" s="90"/>
      <c r="K12" s="90"/>
      <c r="L12" s="89"/>
      <c r="M12" s="90">
        <v>0</v>
      </c>
    </row>
    <row r="13" spans="1:13" ht="18.75" thickBot="1" x14ac:dyDescent="0.3">
      <c r="A13" s="92" t="s">
        <v>148</v>
      </c>
      <c r="B13" s="91">
        <f t="shared" ref="B13:E13" si="3">AVERAGE(B3:B11)</f>
        <v>7.8969319793354906E-2</v>
      </c>
      <c r="C13" s="91">
        <f t="shared" si="3"/>
        <v>0.24202941532449104</v>
      </c>
      <c r="D13" s="91">
        <f t="shared" si="3"/>
        <v>0.62367785272156795</v>
      </c>
      <c r="E13" s="91">
        <f t="shared" si="3"/>
        <v>5.5323412160586026E-2</v>
      </c>
      <c r="F13" s="91">
        <f>AVERAGE(F3:F11)</f>
        <v>8.3155747271690797E-2</v>
      </c>
      <c r="G13" s="91">
        <f t="shared" ref="G13:M13" si="4">AVERAGE(G3:G11)</f>
        <v>0.37632214727843194</v>
      </c>
      <c r="H13" s="91">
        <f t="shared" si="4"/>
        <v>3.240064850573568E-2</v>
      </c>
      <c r="I13" s="91">
        <f t="shared" si="4"/>
        <v>2.2783930940912179E-2</v>
      </c>
      <c r="J13" s="91">
        <f t="shared" si="4"/>
        <v>5.5184579446647862E-2</v>
      </c>
      <c r="K13" s="91">
        <f t="shared" si="4"/>
        <v>3.1380000000000005E-2</v>
      </c>
      <c r="L13" s="91">
        <f t="shared" si="4"/>
        <v>5.3472863311015355E-2</v>
      </c>
      <c r="M13" s="91">
        <f t="shared" si="4"/>
        <v>2.4299822549300656E-2</v>
      </c>
    </row>
  </sheetData>
  <pageMargins left="0.7" right="0.7" top="0.75" bottom="0.75" header="0.3" footer="0.3"/>
  <drawing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019D158-23CE-4D5C-8105-D71DF0731C4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Instructions</vt:lpstr>
      <vt:lpstr>GK Cash Flow 2025</vt:lpstr>
      <vt:lpstr>GK Cash Flow 2026</vt:lpstr>
      <vt:lpstr>Year over Year Stats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My Retirement Withdrawal Tracker</dc:title>
  <dc:creator>CaveArnold@tricconsulting.com</dc:creator>
  <cp:keywords>Retirement, Guyton Klinger, Withdrawal</cp:keywords>
  <cp:lastModifiedBy>Cave Arnold</cp:lastModifiedBy>
  <dcterms:created xsi:type="dcterms:W3CDTF">2019-05-18T02:23:20Z</dcterms:created>
  <dcterms:modified xsi:type="dcterms:W3CDTF">2026-01-11T23:15:48Z</dcterms:modified>
</cp:coreProperties>
</file>